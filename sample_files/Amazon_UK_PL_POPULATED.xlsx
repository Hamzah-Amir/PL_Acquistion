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bri5\Downloads\"/>
    </mc:Choice>
  </mc:AlternateContent>
  <bookViews>
    <workbookView xWindow="0" yWindow="0" windowWidth="23040" windowHeight="8496" tabRatio="500" activeTab="1"/>
  </bookViews>
  <sheets>
    <sheet name="Status &amp; Missing" sheetId="1" r:id="rId1"/>
    <sheet name="P&amp;L (from PDFs)" sheetId="2" r:id="rId2"/>
    <sheet name="SKU Concentration" sheetId="3" r:id="rId3"/>
    <sheet name="COGS Build" sheetId="4" r:id="rId4"/>
    <sheet name="PPC Invoices" sheetId="5" r:id="rId5"/>
    <sheet name="Fee Reconciliation" sheetId="6" r:id="rId6"/>
    <sheet name="Summary" sheetId="7" r:id="rId7"/>
    <sheet name="Traffic &amp; Conversion" sheetId="8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8" l="1"/>
  <c r="M8" i="8"/>
  <c r="L8" i="8"/>
  <c r="K8" i="8"/>
  <c r="J8" i="8"/>
  <c r="I8" i="8"/>
  <c r="H8" i="8"/>
  <c r="G8" i="8"/>
  <c r="F8" i="8"/>
  <c r="E8" i="8"/>
  <c r="D8" i="8"/>
  <c r="C8" i="8"/>
  <c r="B8" i="8"/>
  <c r="O7" i="8"/>
  <c r="O6" i="8"/>
  <c r="O5" i="8"/>
  <c r="O8" i="8" s="1"/>
  <c r="F17" i="7"/>
  <c r="F9" i="7"/>
  <c r="C6" i="7"/>
  <c r="J41" i="6"/>
  <c r="I41" i="6"/>
  <c r="H41" i="6"/>
  <c r="G41" i="6"/>
  <c r="F41" i="6"/>
  <c r="E41" i="6"/>
  <c r="D41" i="6"/>
  <c r="C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41" i="6" s="1"/>
  <c r="K20" i="6"/>
  <c r="J20" i="6"/>
  <c r="I20" i="6"/>
  <c r="H20" i="6"/>
  <c r="G20" i="6"/>
  <c r="F20" i="6"/>
  <c r="D20" i="6"/>
  <c r="E20" i="6" s="1"/>
  <c r="C20" i="6"/>
  <c r="K19" i="6"/>
  <c r="H19" i="6"/>
  <c r="E19" i="6"/>
  <c r="K18" i="6"/>
  <c r="H18" i="6"/>
  <c r="E18" i="6"/>
  <c r="K17" i="6"/>
  <c r="H17" i="6"/>
  <c r="E17" i="6"/>
  <c r="K16" i="6"/>
  <c r="H16" i="6"/>
  <c r="E16" i="6"/>
  <c r="K15" i="6"/>
  <c r="H15" i="6"/>
  <c r="E15" i="6"/>
  <c r="K14" i="6"/>
  <c r="H14" i="6"/>
  <c r="E14" i="6"/>
  <c r="K13" i="6"/>
  <c r="H13" i="6"/>
  <c r="E13" i="6"/>
  <c r="K12" i="6"/>
  <c r="H12" i="6"/>
  <c r="E12" i="6"/>
  <c r="K11" i="6"/>
  <c r="H11" i="6"/>
  <c r="E11" i="6"/>
  <c r="K10" i="6"/>
  <c r="H10" i="6"/>
  <c r="E10" i="6"/>
  <c r="K9" i="6"/>
  <c r="H9" i="6"/>
  <c r="E9" i="6"/>
  <c r="K8" i="6"/>
  <c r="H8" i="6"/>
  <c r="E8" i="6"/>
  <c r="K7" i="6"/>
  <c r="H7" i="6"/>
  <c r="E7" i="6"/>
  <c r="G70" i="5"/>
  <c r="F70" i="5"/>
  <c r="E70" i="5"/>
  <c r="G20" i="5"/>
  <c r="E20" i="5"/>
  <c r="D20" i="5"/>
  <c r="C20" i="5"/>
  <c r="H19" i="5"/>
  <c r="F19" i="5"/>
  <c r="H18" i="5"/>
  <c r="F18" i="5"/>
  <c r="F17" i="5"/>
  <c r="H17" i="5" s="1"/>
  <c r="F16" i="5"/>
  <c r="H16" i="5" s="1"/>
  <c r="H15" i="5"/>
  <c r="F15" i="5"/>
  <c r="H14" i="5"/>
  <c r="F14" i="5"/>
  <c r="F13" i="5"/>
  <c r="H13" i="5" s="1"/>
  <c r="F12" i="5"/>
  <c r="H12" i="5" s="1"/>
  <c r="H11" i="5"/>
  <c r="F11" i="5"/>
  <c r="H10" i="5"/>
  <c r="F10" i="5"/>
  <c r="F9" i="5"/>
  <c r="H9" i="5" s="1"/>
  <c r="F8" i="5"/>
  <c r="H8" i="5" s="1"/>
  <c r="H7" i="5"/>
  <c r="F7" i="5"/>
  <c r="F20" i="5" s="1"/>
  <c r="H20" i="5" s="1"/>
  <c r="M27" i="4"/>
  <c r="L32" i="2" s="1"/>
  <c r="E27" i="4"/>
  <c r="D32" i="2" s="1"/>
  <c r="P26" i="4"/>
  <c r="Q26" i="4" s="1"/>
  <c r="B26" i="4"/>
  <c r="P25" i="4"/>
  <c r="Q25" i="4" s="1"/>
  <c r="B25" i="4"/>
  <c r="Q24" i="4"/>
  <c r="P24" i="4"/>
  <c r="B24" i="4"/>
  <c r="P23" i="4"/>
  <c r="Q23" i="4" s="1"/>
  <c r="B23" i="4"/>
  <c r="Q22" i="4"/>
  <c r="P22" i="4"/>
  <c r="B22" i="4"/>
  <c r="Q21" i="4"/>
  <c r="P21" i="4"/>
  <c r="B21" i="4"/>
  <c r="P20" i="4"/>
  <c r="Q20" i="4" s="1"/>
  <c r="B20" i="4"/>
  <c r="Q19" i="4"/>
  <c r="P19" i="4"/>
  <c r="B19" i="4"/>
  <c r="P18" i="4"/>
  <c r="B18" i="4"/>
  <c r="Q18" i="4" s="1"/>
  <c r="P17" i="4"/>
  <c r="Q17" i="4" s="1"/>
  <c r="B17" i="4"/>
  <c r="Q16" i="4"/>
  <c r="P16" i="4"/>
  <c r="B16" i="4"/>
  <c r="P15" i="4"/>
  <c r="Q15" i="4" s="1"/>
  <c r="B15" i="4"/>
  <c r="Q14" i="4"/>
  <c r="P14" i="4"/>
  <c r="B14" i="4"/>
  <c r="Q13" i="4"/>
  <c r="P13" i="4"/>
  <c r="B13" i="4"/>
  <c r="P12" i="4"/>
  <c r="Q12" i="4" s="1"/>
  <c r="B12" i="4"/>
  <c r="Q11" i="4"/>
  <c r="P11" i="4"/>
  <c r="B11" i="4"/>
  <c r="P10" i="4"/>
  <c r="B10" i="4"/>
  <c r="Q10" i="4" s="1"/>
  <c r="P9" i="4"/>
  <c r="Q9" i="4" s="1"/>
  <c r="B9" i="4"/>
  <c r="D27" i="4" s="1"/>
  <c r="C32" i="2" s="1"/>
  <c r="Q8" i="4"/>
  <c r="P8" i="4"/>
  <c r="B8" i="4"/>
  <c r="P7" i="4"/>
  <c r="Q7" i="4" s="1"/>
  <c r="B7" i="4"/>
  <c r="L27" i="4" s="1"/>
  <c r="K32" i="2" s="1"/>
  <c r="Q6" i="4"/>
  <c r="P6" i="4"/>
  <c r="B6" i="4"/>
  <c r="K27" i="4" s="1"/>
  <c r="J32" i="2" s="1"/>
  <c r="Q5" i="4"/>
  <c r="P5" i="4"/>
  <c r="P27" i="4" s="1"/>
  <c r="B5" i="4"/>
  <c r="I27" i="4" s="1"/>
  <c r="H32" i="2" s="1"/>
  <c r="C33" i="3"/>
  <c r="C32" i="3"/>
  <c r="C31" i="3"/>
  <c r="D27" i="3"/>
  <c r="D26" i="3"/>
  <c r="D25" i="3"/>
  <c r="D21" i="3"/>
  <c r="C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M40" i="2"/>
  <c r="L40" i="2"/>
  <c r="K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N37" i="2"/>
  <c r="G37" i="2"/>
  <c r="F37" i="2"/>
  <c r="P33" i="2"/>
  <c r="O33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30" i="2"/>
  <c r="O30" i="2"/>
  <c r="N27" i="2"/>
  <c r="O26" i="2"/>
  <c r="N25" i="2"/>
  <c r="M25" i="2"/>
  <c r="M37" i="2" s="1"/>
  <c r="L25" i="2"/>
  <c r="L34" i="2" s="1"/>
  <c r="L41" i="2" s="1"/>
  <c r="K25" i="2"/>
  <c r="K27" i="2" s="1"/>
  <c r="J25" i="2"/>
  <c r="J27" i="2" s="1"/>
  <c r="I25" i="2"/>
  <c r="I37" i="2" s="1"/>
  <c r="H25" i="2"/>
  <c r="G25" i="2"/>
  <c r="F25" i="2"/>
  <c r="F27" i="2" s="1"/>
  <c r="E25" i="2"/>
  <c r="E37" i="2" s="1"/>
  <c r="D25" i="2"/>
  <c r="D34" i="2" s="1"/>
  <c r="D41" i="2" s="1"/>
  <c r="C25" i="2"/>
  <c r="C27" i="2" s="1"/>
  <c r="B25" i="2"/>
  <c r="B27" i="2" s="1"/>
  <c r="P24" i="2"/>
  <c r="O24" i="2"/>
  <c r="O23" i="2"/>
  <c r="P23" i="2" s="1"/>
  <c r="N20" i="2"/>
  <c r="N40" i="2" s="1"/>
  <c r="M20" i="2"/>
  <c r="L20" i="2"/>
  <c r="K20" i="2"/>
  <c r="J20" i="2"/>
  <c r="I20" i="2"/>
  <c r="I40" i="2" s="1"/>
  <c r="H20" i="2"/>
  <c r="H40" i="2" s="1"/>
  <c r="G20" i="2"/>
  <c r="O20" i="2" s="1"/>
  <c r="F20" i="2"/>
  <c r="F40" i="2" s="1"/>
  <c r="E20" i="2"/>
  <c r="D20" i="2"/>
  <c r="C20" i="2"/>
  <c r="B20" i="2"/>
  <c r="O19" i="2"/>
  <c r="P19" i="2" s="1"/>
  <c r="P18" i="2"/>
  <c r="O18" i="2"/>
  <c r="P17" i="2"/>
  <c r="O17" i="2"/>
  <c r="O16" i="2"/>
  <c r="P16" i="2" s="1"/>
  <c r="O15" i="2"/>
  <c r="P15" i="2" s="1"/>
  <c r="P14" i="2"/>
  <c r="O14" i="2"/>
  <c r="O10" i="2"/>
  <c r="N9" i="2"/>
  <c r="N11" i="2" s="1"/>
  <c r="M9" i="2"/>
  <c r="M11" i="2" s="1"/>
  <c r="L9" i="2"/>
  <c r="L11" i="2" s="1"/>
  <c r="K9" i="2"/>
  <c r="J9" i="2"/>
  <c r="J40" i="2" s="1"/>
  <c r="I9" i="2"/>
  <c r="I11" i="2" s="1"/>
  <c r="H9" i="2"/>
  <c r="H11" i="2" s="1"/>
  <c r="G9" i="2"/>
  <c r="G11" i="2" s="1"/>
  <c r="F9" i="2"/>
  <c r="F11" i="2" s="1"/>
  <c r="E9" i="2"/>
  <c r="E11" i="2" s="1"/>
  <c r="D9" i="2"/>
  <c r="D11" i="2" s="1"/>
  <c r="C9" i="2"/>
  <c r="B9" i="2"/>
  <c r="B40" i="2" s="1"/>
  <c r="P8" i="2"/>
  <c r="O8" i="2"/>
  <c r="P7" i="2"/>
  <c r="O7" i="2"/>
  <c r="O6" i="2"/>
  <c r="P6" i="2" s="1"/>
  <c r="O5" i="2"/>
  <c r="O38" i="2" s="1"/>
  <c r="C12" i="7" s="1"/>
  <c r="C34" i="2" l="1"/>
  <c r="K34" i="2"/>
  <c r="K41" i="2" s="1"/>
  <c r="C8" i="7"/>
  <c r="P20" i="2"/>
  <c r="O40" i="2"/>
  <c r="F6" i="7"/>
  <c r="Q27" i="4"/>
  <c r="F34" i="2"/>
  <c r="F41" i="2" s="1"/>
  <c r="F27" i="4"/>
  <c r="E32" i="2" s="1"/>
  <c r="O32" i="2" s="1"/>
  <c r="O25" i="2"/>
  <c r="G27" i="2"/>
  <c r="O31" i="2"/>
  <c r="H37" i="2"/>
  <c r="G27" i="4"/>
  <c r="F32" i="2" s="1"/>
  <c r="O27" i="4"/>
  <c r="N32" i="2" s="1"/>
  <c r="N34" i="2" s="1"/>
  <c r="N41" i="2" s="1"/>
  <c r="M27" i="2"/>
  <c r="P5" i="2"/>
  <c r="C11" i="2"/>
  <c r="H27" i="2"/>
  <c r="H34" i="2"/>
  <c r="H41" i="2" s="1"/>
  <c r="G40" i="2"/>
  <c r="H27" i="4"/>
  <c r="G32" i="2" s="1"/>
  <c r="G34" i="2" s="1"/>
  <c r="G41" i="2" s="1"/>
  <c r="J11" i="2"/>
  <c r="E27" i="2"/>
  <c r="F16" i="7"/>
  <c r="F18" i="7" s="1"/>
  <c r="N27" i="4"/>
  <c r="M32" i="2" s="1"/>
  <c r="M34" i="2" s="1"/>
  <c r="M41" i="2" s="1"/>
  <c r="I27" i="2"/>
  <c r="B37" i="2"/>
  <c r="J37" i="2"/>
  <c r="B11" i="2"/>
  <c r="K11" i="2"/>
  <c r="O9" i="2"/>
  <c r="B34" i="2"/>
  <c r="B41" i="2" s="1"/>
  <c r="J34" i="2"/>
  <c r="J41" i="2" s="1"/>
  <c r="C37" i="2"/>
  <c r="K37" i="2"/>
  <c r="O39" i="2"/>
  <c r="J27" i="4"/>
  <c r="I32" i="2" s="1"/>
  <c r="I34" i="2" s="1"/>
  <c r="I41" i="2" s="1"/>
  <c r="E34" i="2"/>
  <c r="E41" i="2" s="1"/>
  <c r="D37" i="2"/>
  <c r="L37" i="2"/>
  <c r="C27" i="4"/>
  <c r="B32" i="2" s="1"/>
  <c r="D27" i="2"/>
  <c r="L27" i="2"/>
  <c r="F8" i="7" l="1"/>
  <c r="B45" i="2"/>
  <c r="F12" i="7" s="1"/>
  <c r="P32" i="2"/>
  <c r="C10" i="7"/>
  <c r="C20" i="7"/>
  <c r="C5" i="7"/>
  <c r="D19" i="7"/>
  <c r="P9" i="2"/>
  <c r="C13" i="7" s="1"/>
  <c r="C19" i="7"/>
  <c r="O11" i="2"/>
  <c r="D18" i="7"/>
  <c r="D20" i="7"/>
  <c r="C18" i="7"/>
  <c r="F5" i="7"/>
  <c r="C9" i="7"/>
  <c r="F7" i="7"/>
  <c r="P25" i="2"/>
  <c r="O37" i="2"/>
  <c r="C11" i="7" s="1"/>
  <c r="B30" i="4"/>
  <c r="B27" i="4"/>
  <c r="C7" i="7"/>
  <c r="P31" i="2"/>
  <c r="O27" i="2"/>
  <c r="C41" i="2"/>
  <c r="O34" i="2"/>
  <c r="P34" i="2" l="1"/>
  <c r="O41" i="2"/>
  <c r="F11" i="7" s="1"/>
  <c r="F10" i="7"/>
</calcChain>
</file>

<file path=xl/comments1.xml><?xml version="1.0" encoding="utf-8"?>
<comments xmlns="http://schemas.openxmlformats.org/spreadsheetml/2006/main">
  <authors>
    <author>Unknown Author</author>
  </authors>
  <commentList>
    <comment ref="B45" authorId="0" shapeId="0">
      <text>
        <r>
          <rPr>
            <sz val="10"/>
            <rFont val="Arial"/>
            <family val="2"/>
          </rPr>
          <t>Computed = bottom-up COGS / units. Per-SKU costs from the seller's evaluation, applied to actual monthly units. See 'COGS Build' tab. COGS is DDP + import VAT inclusive.</t>
        </r>
      </text>
    </comment>
  </commentList>
</comments>
</file>

<file path=xl/sharedStrings.xml><?xml version="1.0" encoding="utf-8"?>
<sst xmlns="http://schemas.openxmlformats.org/spreadsheetml/2006/main" count="494" uniqueCount="354">
  <si>
    <t>Data Status — What's Loaded and What's Still Missing</t>
  </si>
  <si>
    <t>OPTIMAL AND CLASS A LTD · Amazon.co.uk · 13 monthly Summary PDFs + 13 Transaction CSVs (Jun 2025 – Jun 2026)</t>
  </si>
  <si>
    <t>✓  Loaded, reconciled and now enriched with transaction-level data</t>
  </si>
  <si>
    <t>•  All 13 months reconcile to the penny vs Amazon's stated Income &amp; Expenses totals (see check rows on the P&amp;L tab).</t>
  </si>
  <si>
    <t>•  Transaction CSVs added UNITS SOLD (8,503 net units TTM) and average selling price (£12.33) — COGS is now driven by real units × landed cost, not a guess.</t>
  </si>
  <si>
    <t>•  SKU-level revenue extracted → see the 'SKU Concentration' tab (22 SKUs across ~3 product families).</t>
  </si>
  <si>
    <t>•  Storage/inbound fees confirmed month-by-month from the 'FBA Inventory Fee' transaction lines.</t>
  </si>
  <si>
    <t>•  Business Reports added TRAFFIC &amp; CONVERSION → see the 'Traffic &amp; Conversion' tab: TTM 56,053 sessions, 15.4% conversion, ~29 child ASINs. Buy Box ~99% for most of the year.</t>
  </si>
  <si>
    <t>⚠  VAT — the transaction data raises a real question</t>
  </si>
  <si>
    <t>•  98.4% of sales are UK domestic (tax-collection-model blank) and Amazon collected £0 VAT on them. Only 1.6% (EU/NI 'MarketplaceFacilitator' orders) had VAT handled by Amazon.</t>
  </si>
  <si>
    <t>•  TTM turnover ~£107k is above the £90k registration threshold, yet no VAT is being collected on UK sales. Either the seller is VAT-registered and self-accounts (so ~£17.5k/yr output VAT is a real cost, prices being VAT-inclusive), OR they are not registered despite being over the threshold (a compliance liability that can pass to a buyer).</t>
  </si>
  <si>
    <t>•  ACTION: get the VAT registration number, the VAT scheme (standard/flat-rate), and the last 4 VAT returns. This single point can swing the whole valuation.</t>
  </si>
  <si>
    <t>✗  Still missing</t>
  </si>
  <si>
    <t>•  COGS is now BOTTOM-UP: each SKU's actual monthly units × that SKU's own landed cost (loom £6.61, fidget £2.48, refills £0.23, etc., from the seller's evaluation). See the 'COGS Build' tab. Blended ≈ £3.30/unit — which matches the seller's own implied £3.35, not the £6.50 headline.</t>
  </si>
  <si>
    <t>•  PPC / Advertising — NOW LOADED from 42 actual Amazon invoices, split into net + VAT @20% per month. Reconciles to the settlement advertising for 10 of 13 months to the penny (rest = billing-cycle timing). See 'PPC Invoices' tab.</t>
  </si>
  <si>
    <t>•  Off-Amazon operating cost (£600/mo agency fee) — REMOVED at your request (was an assumption). Add back later if you want to model it.</t>
  </si>
  <si>
    <t>•  VAT status &amp; returns — you are handling this; seller acknowledges 'VAT Applicable'. The B51 toggle models registered vs not.</t>
  </si>
  <si>
    <t>•  ACoS / ad-attributed sales — still needs the Advertising Console export (we now have PPC spend &amp; VAT from invoices, and TACoS ≈17.5%, but not the ad-attributed sales split).</t>
  </si>
  <si>
    <t>•  Independent verification still needed: live Account Health check, trademark/Brand Registry, supplier invoices &amp; exclusivity, current inventory on hand.</t>
  </si>
  <si>
    <t>★  From the seller's evaluation sheet — key facts &amp; flags</t>
  </si>
  <si>
    <t>•  ASSET SALE ONLY: the seller states the sale is the brand + Amazon listings/ASINs only — NOT the Seller Central account or company. You'd migrate ASINs to your own (VAT-registered) account, inheriting listings/reviews but not the account's health history.</t>
  </si>
  <si>
    <t>•  Young business: ~16 months old (launched ~Apr-2025). Seller claims total net profit ~£17,000 Apr-2025 to Jun-2026, i.e. avg ~£1,214/month — already after ads and the £600/month agency fee.</t>
  </si>
  <si>
    <t>•  Asking price £8,000 (seller's own 'real' valuation £13-15k, on 12-24x monthly avg profit). Compare against this model's estimated net profit on the Summary tab.</t>
  </si>
  <si>
    <t>•  Landed-cost reality: seller headlines £6.50/unit but their own COGS column implies ~£3.35, and our bottom-up build on the real sales mix gives ~£3.30. Good news for profitability — but confirm with actual supplier invoices, as the whole deal turns on this.</t>
  </si>
  <si>
    <t>•  Agency-dependent: run by 'Ecom Ninja' on £600/month retention. Confirm whether that management transfers or you can run it yourself.</t>
  </si>
  <si>
    <t>•  Seller says no suspensions/violations and offers live verification at acquisition — do that.</t>
  </si>
  <si>
    <t>MONTHLY P&amp;L — settlement data + units from transaction files (£)</t>
  </si>
  <si>
    <t>Costs negative. TTM = Jul-25 to Jun-26. Blue = actual data, black = formula, yellow = assumption to replace.</t>
  </si>
  <si>
    <t>Line item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</si>
  <si>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</si>
  <si>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</si>
  <si>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</si>
  <si>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</si>
  <si>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</si>
  <si>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</si>
  <si>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</si>
  <si>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</si>
  <si>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</si>
  <si>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</si>
  <si>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</si>
  <si>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</si>
  <si>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</si>
  <si>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TTM</t>
  </si>
  <si>
    <t>TTM avg/mo</t>
  </si>
  <si>
    <t>REVENUE</t>
  </si>
  <si>
    <t xml:space="preserve">    Product Sales (FBA + seller-fulfilled)</t>
  </si>
  <si>
    <t xml:space="preserve">    Other Income (postage, inventory, gift-wrap)</t>
  </si>
  <si>
    <t xml:space="preserve">    less: Promotional Rebates (net)</t>
  </si>
  <si>
    <t xml:space="preserve">    less: Returns &amp; Refunds (incl. delivery credits)</t>
  </si>
  <si>
    <t>Net Sales</t>
  </si>
  <si>
    <t xml:space="preserve">    check: Amazon 'Income' total (PDF)</t>
  </si>
  <si>
    <t xml:space="preserve">    check: Difference (0)</t>
  </si>
  <si>
    <t>AMAZON FEES  (VAT-inclusive; referral &amp; FBA split into net + VAT @20%)</t>
  </si>
  <si>
    <t xml:space="preserve">    Referral / Selling Fees (ex-VAT)</t>
  </si>
  <si>
    <t xml:space="preserve">    Referral Fees — VAT @20%</t>
  </si>
  <si>
    <t xml:space="preserve">    FBA Fulfilment Fees (ex-VAT)</t>
  </si>
  <si>
    <t xml:space="preserve">    FBA Fulfilment Fees — VAT @20%</t>
  </si>
  <si>
    <t xml:space="preserve">    Storage &amp; Inbound Fees (incl. VAT)</t>
  </si>
  <si>
    <t xml:space="preserve">    Other Fees (incl. VAT)</t>
  </si>
  <si>
    <t>Total Amazon Fees (incl. VAT, excl. ads)</t>
  </si>
  <si>
    <t>ADVERTISING / PPC  (from 42 actual invoices; split net + VAT @20%)</t>
  </si>
  <si>
    <t xml:space="preserve">    PPC / Advertising (ex-VAT)</t>
  </si>
  <si>
    <t xml:space="preserve">    PPC / Advertising — VAT @20%</t>
  </si>
  <si>
    <t>Total PPC (incl. VAT)</t>
  </si>
  <si>
    <t xml:space="preserve">    check: Amazon 'Expenses' total (PDF)</t>
  </si>
  <si>
    <t>COGS, VAT &amp; NET PROFIT</t>
  </si>
  <si>
    <t xml:space="preserve">    Units Sold (net, from transaction files)</t>
  </si>
  <si>
    <t xml:space="preserve">    Avg Selling Price</t>
  </si>
  <si>
    <t xml:space="preserve">    COGS (DDP + import VAT incl.; per-SKU)</t>
  </si>
  <si>
    <t xml:space="preserve">    Output VAT (business NOT VAT-registered -&gt; £0)</t>
  </si>
  <si>
    <t>Estimated Net Profit</t>
  </si>
  <si>
    <t>KEY METRICS</t>
  </si>
  <si>
    <t xml:space="preserve">    TACoS % (PPC incl VAT / net sales)</t>
  </si>
  <si>
    <t xml:space="preserve">    Refund rate %</t>
  </si>
  <si>
    <t xml:space="preserve">    Promo rate %</t>
  </si>
  <si>
    <t xml:space="preserve">    Amazon fee % (incl VAT) of net sales</t>
  </si>
  <si>
    <t xml:space="preserve">    Net margin %</t>
  </si>
  <si>
    <t>ASSUMPTIONS &amp; NOTES</t>
  </si>
  <si>
    <t>COGS = DDP + import VAT. Fees &amp; PPC shown incl VAT — none reclaimable while unregistered.</t>
  </si>
  <si>
    <t>Blended landed £/unit (computed)</t>
  </si>
  <si>
    <t>Output VAT status</t>
  </si>
  <si>
    <t>NOT registered -&gt; £0</t>
  </si>
  <si>
    <t>PPC now from 42 actual invoices — see 'PPC Invoices' tab. Matches settlement 10/13 months; rest = billing-cycle timing.</t>
  </si>
  <si>
    <t>FLAG: turnover &gt;£90k means VAT registration will likely be required; output VAT ≈£17.8k/yr would then apply.</t>
  </si>
  <si>
    <t>SKU CONCENTRATION — trailing 12 months (product sales, orders)</t>
  </si>
  <si>
    <t>SKU</t>
  </si>
  <si>
    <t>TTM Sales</t>
  </si>
  <si>
    <t>% of total</t>
  </si>
  <si>
    <t>Product family</t>
  </si>
  <si>
    <t>Black Fidget Pen</t>
  </si>
  <si>
    <t>Fidget Pen</t>
  </si>
  <si>
    <t>15k-pink-loom</t>
  </si>
  <si>
    <t>Loom Bands</t>
  </si>
  <si>
    <t>MSB-001</t>
  </si>
  <si>
    <t>Other</t>
  </si>
  <si>
    <t>15k-loom-purple</t>
  </si>
  <si>
    <t>15k loom blue</t>
  </si>
  <si>
    <t>Purple Fidget Pen</t>
  </si>
  <si>
    <t>15k-loom-white</t>
  </si>
  <si>
    <t>Golden Fidget Pen</t>
  </si>
  <si>
    <t>YC-H5RX-YASA</t>
  </si>
  <si>
    <t>Blue Fidget Pen</t>
  </si>
  <si>
    <t>glow loom</t>
  </si>
  <si>
    <t>multi refills</t>
  </si>
  <si>
    <t>black refills</t>
  </si>
  <si>
    <t>D0-8XWZ-Y0C6</t>
  </si>
  <si>
    <t>MS-002</t>
  </si>
  <si>
    <t>Other small SKUs (7)</t>
  </si>
  <si>
    <t>Mixed</t>
  </si>
  <si>
    <t>TOTAL</t>
  </si>
  <si>
    <t>By product family</t>
  </si>
  <si>
    <t>Family</t>
  </si>
  <si>
    <t>Concentration</t>
  </si>
  <si>
    <t>Distinct SKUs</t>
  </si>
  <si>
    <t>Top SKU %</t>
  </si>
  <si>
    <t>Top 3 SKUs %</t>
  </si>
  <si>
    <t>Top 5 SKUs %</t>
  </si>
  <si>
    <t>Note: 22 SKUs but ~3 product families; a large share sits in Loom Bands + Fidget Pens. Variation SKUs (colours/refills) of the same product share supply-chain and demand risk.</t>
  </si>
  <si>
    <t>COGS BUILD — actual units per SKU × per-SKU landed cost (from seller's evaluation)</t>
  </si>
  <si>
    <t>Net units (orders − refunds) per SKU per month. £/unit is driven by the editable COST RATE TABLE (right). Monthly COGS = Σ(units × cost). TTM = Jul-25 to Jun-26.</t>
  </si>
  <si>
    <t>£/unit</t>
  </si>
  <si>
    <t>TTM units</t>
  </si>
  <si>
    <t>TTM COGS</t>
  </si>
  <si>
    <t>COST RATE TABLE (edit)</t>
  </si>
  <si>
    <t>Loom kit</t>
  </si>
  <si>
    <t>Fidget pen</t>
  </si>
  <si>
    <t>Black  Fidget Pen</t>
  </si>
  <si>
    <t>Refill/Glow</t>
  </si>
  <si>
    <t>Purple  Fidget Pen</t>
  </si>
  <si>
    <t>Yellow = editable. Change a rate and every SKU in that family, the monthly COGS, and the P&amp;L all update.</t>
  </si>
  <si>
    <t>White loom kit FBM</t>
  </si>
  <si>
    <t>Multi Function Tool Pen</t>
  </si>
  <si>
    <t>Putty Fidget Toy FBM</t>
  </si>
  <si>
    <t>Silver Fidget Pen</t>
  </si>
  <si>
    <t>Black Fidget Pen FBM</t>
  </si>
  <si>
    <t>GD-MC-B Refill</t>
  </si>
  <si>
    <t>MD-GIN-FBM</t>
  </si>
  <si>
    <t>Monthly COGS (bottom-up)</t>
  </si>
  <si>
    <t>Blended landed cost per unit — reconciliation</t>
  </si>
  <si>
    <t>This model (bottom-up, TTM)</t>
  </si>
  <si>
    <t>Seller's evaluation P&amp;L (implied)</t>
  </si>
  <si>
    <t>Seller's stated 'higher end'</t>
  </si>
  <si>
    <t>→ The bottom-up blend (~£3.30) matches the seller's own implied £3.35, NOT the £6.50 headline. The £6.50 is essentially the loom-kit cost; the sales mix (many £2.48 pens &amp; £0.23 refills) pulls the average down.</t>
  </si>
  <si>
    <t>VAT = gross − net (every invoice = net × 1.20). Bucketed by invoice date. Compared to the 'Cost of Advertising' in the settlement PDFs.</t>
  </si>
  <si>
    <t>Monthly summary (bucketed by invoice date)</t>
  </si>
  <si>
    <t>Month</t>
  </si>
  <si>
    <t># inv</t>
  </si>
  <si>
    <t>PPC net</t>
  </si>
  <si>
    <t>PPC VAT</t>
  </si>
  <si>
    <t>PPC gross</t>
  </si>
  <si>
    <t>Settlement</t>
  </si>
  <si>
    <t>Diff</t>
  </si>
  <si>
    <t>Reconciliation: 10 of 13 months match the settlement advertising to the penny. Jun-25 &amp; Jul-25 (ramp-up) and May-26 differ only by billing-cycle timing at month boundaries. One invoice (13-May-2025, £246.35) predates the window. The P&amp;L uses the settlement monthly figure split at the invoice-confirmed 20%, so it reconciles exactly.</t>
  </si>
  <si>
    <t>All 42 invoices</t>
  </si>
  <si>
    <t>Invoice #</t>
  </si>
  <si>
    <t>Date</t>
  </si>
  <si>
    <t>Period</t>
  </si>
  <si>
    <t>Net</t>
  </si>
  <si>
    <t>VAT</t>
  </si>
  <si>
    <t>Gross</t>
  </si>
  <si>
    <t>1485452M7PA25</t>
  </si>
  <si>
    <t>13-05-2025</t>
  </si>
  <si>
    <t>08-05-2025 - 13-05-2025</t>
  </si>
  <si>
    <t>1708804M7PA25</t>
  </si>
  <si>
    <t>02-06-2025</t>
  </si>
  <si>
    <t>13-05-2025 - 02-06-2025</t>
  </si>
  <si>
    <t>1813133M7PA25</t>
  </si>
  <si>
    <t>10-06-2025</t>
  </si>
  <si>
    <t>02-06-2025 - 10-06-2025</t>
  </si>
  <si>
    <t>1991397M7PA25</t>
  </si>
  <si>
    <t>29-06-2025</t>
  </si>
  <si>
    <t>10-06-2025 - 29-06-2025</t>
  </si>
  <si>
    <t>2035516M7PA25</t>
  </si>
  <si>
    <t>02-07-2025</t>
  </si>
  <si>
    <t>29-06-2025 - 02-07-2025</t>
  </si>
  <si>
    <t>2257833M7PA25</t>
  </si>
  <si>
    <t>16-07-2025</t>
  </si>
  <si>
    <t>02-07-2025 - 16-07-2025</t>
  </si>
  <si>
    <t>2464827M7PA25</t>
  </si>
  <si>
    <t>02-08-2025</t>
  </si>
  <si>
    <t>16-07-2025 - 02-08-2025</t>
  </si>
  <si>
    <t>2621419M7PA25</t>
  </si>
  <si>
    <t>15-08-2025</t>
  </si>
  <si>
    <t>02-08-2025 - 15-08-2025</t>
  </si>
  <si>
    <t>2702972M7PA25</t>
  </si>
  <si>
    <t>24-08-2025</t>
  </si>
  <si>
    <t>15-08-2025 - 24-08-2025</t>
  </si>
  <si>
    <t>2741531M7PA25</t>
  </si>
  <si>
    <t>28-08-2025</t>
  </si>
  <si>
    <t>24-08-2025 - 28-08-2025</t>
  </si>
  <si>
    <t>2792922M7PA25</t>
  </si>
  <si>
    <t>01-09-2025</t>
  </si>
  <si>
    <t>28-08-2025 - 01-09-2025</t>
  </si>
  <si>
    <t>2926762M7PA25</t>
  </si>
  <si>
    <t>07-09-2025</t>
  </si>
  <si>
    <t>01-09-2025 - 07-09-2025</t>
  </si>
  <si>
    <t>3001602M7PA25</t>
  </si>
  <si>
    <t>14-09-2025</t>
  </si>
  <si>
    <t>07-09-2025 - 14-09-2025</t>
  </si>
  <si>
    <t>3063486M7PA25</t>
  </si>
  <si>
    <t>21-09-2025</t>
  </si>
  <si>
    <t>14-09-2025 - 21-09-2025</t>
  </si>
  <si>
    <t>3126647M7PA25</t>
  </si>
  <si>
    <t>27-09-2025</t>
  </si>
  <si>
    <t>21-09-2025 - 27-09-2025</t>
  </si>
  <si>
    <t>3202273M7PA25</t>
  </si>
  <si>
    <t>02-10-2025</t>
  </si>
  <si>
    <t>27-09-2025 - 02-10-2025</t>
  </si>
  <si>
    <t>3349598M7PA25</t>
  </si>
  <si>
    <t>09-10-2025</t>
  </si>
  <si>
    <t>02-10-2025 - 09-10-2025</t>
  </si>
  <si>
    <t>3458398M7PA25</t>
  </si>
  <si>
    <t>20-10-2025</t>
  </si>
  <si>
    <t>09-10-2025 - 20-10-2025</t>
  </si>
  <si>
    <t>3645104M7PA25</t>
  </si>
  <si>
    <t>02-11-2025</t>
  </si>
  <si>
    <t>20-10-2025 - 02-11-2025</t>
  </si>
  <si>
    <t>3775522M7PA25</t>
  </si>
  <si>
    <t>10-11-2025</t>
  </si>
  <si>
    <t>02-11-2025 - 10-11-2025</t>
  </si>
  <si>
    <t>3887592M7PA25</t>
  </si>
  <si>
    <t>20-11-2025</t>
  </si>
  <si>
    <t>10-11-2025 - 20-11-2025</t>
  </si>
  <si>
    <t>4036962M7PA25</t>
  </si>
  <si>
    <t>01-12-2025</t>
  </si>
  <si>
    <t>20-11-2025 - 01-12-2025</t>
  </si>
  <si>
    <t>4074056M7PA25</t>
  </si>
  <si>
    <t>02-12-2025</t>
  </si>
  <si>
    <t>01-12-2025 - 02-12-2025</t>
  </si>
  <si>
    <t>4237847M7PA25</t>
  </si>
  <si>
    <t>07-12-2025</t>
  </si>
  <si>
    <t>02-12-2025 - 07-12-2025</t>
  </si>
  <si>
    <t>4337086M7PA25</t>
  </si>
  <si>
    <t>15-12-2025</t>
  </si>
  <si>
    <t>07-12-2025 - 15-12-2025</t>
  </si>
  <si>
    <t>4435304M7PA25</t>
  </si>
  <si>
    <t>21-12-2025</t>
  </si>
  <si>
    <t>15-12-2025 - 21-12-2025</t>
  </si>
  <si>
    <t>48217M7PA26</t>
  </si>
  <si>
    <t>02-01-2026</t>
  </si>
  <si>
    <t>21-12-2025 - 02-01-2026</t>
  </si>
  <si>
    <t>310775M7PA26</t>
  </si>
  <si>
    <t>20-01-2026</t>
  </si>
  <si>
    <t>02-01-2026 - 20-01-2026</t>
  </si>
  <si>
    <t>411111M7PA26</t>
  </si>
  <si>
    <t>28-01-2026</t>
  </si>
  <si>
    <t>20-01-2026 - 28-01-2026</t>
  </si>
  <si>
    <t>496034M7PA26</t>
  </si>
  <si>
    <t>02-02-2026</t>
  </si>
  <si>
    <t>28-01-2026 - 01-02-2026</t>
  </si>
  <si>
    <t>727506M7PA26</t>
  </si>
  <si>
    <t>18-02-2026</t>
  </si>
  <si>
    <t>01-02-2026 - 18-02-2026</t>
  </si>
  <si>
    <t>915472M7PA26</t>
  </si>
  <si>
    <t>02-03-2026</t>
  </si>
  <si>
    <t>18-02-2026 - 02-03-2026</t>
  </si>
  <si>
    <t>1073345M7PA26</t>
  </si>
  <si>
    <t>13-03-2026</t>
  </si>
  <si>
    <t>02-03-2026 - 13-03-2026</t>
  </si>
  <si>
    <t>1236212M7PA26</t>
  </si>
  <si>
    <t>28-03-2026</t>
  </si>
  <si>
    <t>13-03-2026 - 28-03-2026</t>
  </si>
  <si>
    <t>1368382M7PA26</t>
  </si>
  <si>
    <t>04-04-2026</t>
  </si>
  <si>
    <t>28-03-2026 - 02-04-2026</t>
  </si>
  <si>
    <t>1541421M7PA26</t>
  </si>
  <si>
    <t>16-04-2026</t>
  </si>
  <si>
    <t>02-04-2026 - 16-04-2026</t>
  </si>
  <si>
    <t>1708735M7PA26</t>
  </si>
  <si>
    <t>29-04-2026</t>
  </si>
  <si>
    <t>16-04-2026 - 29-04-2026</t>
  </si>
  <si>
    <t>1782420M7PA26</t>
  </si>
  <si>
    <t>02-05-2026</t>
  </si>
  <si>
    <t>29-04-2026 - 02-05-2026</t>
  </si>
  <si>
    <t>1980802M7PA26</t>
  </si>
  <si>
    <t>14-05-2026</t>
  </si>
  <si>
    <t>02-05-2026 - 14-05-2026</t>
  </si>
  <si>
    <t>2250995M7PA26</t>
  </si>
  <si>
    <t>02-06-2026</t>
  </si>
  <si>
    <t>26-05-2026 - 02-06-2026</t>
  </si>
  <si>
    <t>2424771M7PA26</t>
  </si>
  <si>
    <t>12-06-2026</t>
  </si>
  <si>
    <t>02-06-2026 - 12-06-2026</t>
  </si>
  <si>
    <t>2608540M7PA26</t>
  </si>
  <si>
    <t>26-06-2026</t>
  </si>
  <si>
    <t>12-06-2026 - 26-06-2026</t>
  </si>
  <si>
    <t>FEE RECONCILIATION — Summary PDF vs detailed Transaction CSV</t>
  </si>
  <si>
    <t>Confirms each Amazon fee in the P&amp;L comes from the Payment report and ties out both ways. Costs negative. 'd' = CSV − Summary (≈0 = tie).</t>
  </si>
  <si>
    <t>Referral (selling fee)</t>
  </si>
  <si>
    <t>FBA fulfilment</t>
  </si>
  <si>
    <t>Storage &amp; inbound</t>
  </si>
  <si>
    <t>Summary</t>
  </si>
  <si>
    <t>CSV</t>
  </si>
  <si>
    <t>d</t>
  </si>
  <si>
    <t>Referral, FBA fulfilment and storage each tie to the transaction CSV to the penny. (Referral shown as order-line selling fees; the summary's small 'selling fee refunds' credit is a separate line in the P&amp;L.)</t>
  </si>
  <si>
    <t>OTHER FEES — full composition (Service fee split into Subscription / Deal / Coupon)</t>
  </si>
  <si>
    <t>Every component from the Payment report. Subscription = £30/mo seller plan; Deal fees = Lightning/Best-Deal participation + performance charges; Coupon = one-off coupon redemption. Columns sum to the P&amp;L 'Other Fees' line and tie to the transaction CSV to the penny.</t>
  </si>
  <si>
    <t>Other txn fees</t>
  </si>
  <si>
    <t>Other txn refunds</t>
  </si>
  <si>
    <t>Subscription</t>
  </si>
  <si>
    <t>Deal fees</t>
  </si>
  <si>
    <t>Coupon fees</t>
  </si>
  <si>
    <t>Refund admin</t>
  </si>
  <si>
    <t>Delivery labels</t>
  </si>
  <si>
    <t>Adjustments</t>
  </si>
  <si>
    <t>Total Other</t>
  </si>
  <si>
    <t>SUMMARY — trailing 12 months (Jul-25 to Jun-26)</t>
  </si>
  <si>
    <t>Reliable (straight from the data)</t>
  </si>
  <si>
    <t>Bottom line (business NOT VAT-registered)</t>
  </si>
  <si>
    <t>Net Sales (TTM)</t>
  </si>
  <si>
    <t>Units sold (net, TTM)</t>
  </si>
  <si>
    <t>Total Amazon Fees incl VAT</t>
  </si>
  <si>
    <t>Avg selling price</t>
  </si>
  <si>
    <t>PPC incl VAT</t>
  </si>
  <si>
    <t>Total Amazon Fees incl VAT (TTM)</t>
  </si>
  <si>
    <t>COGS (DDP + import VAT)</t>
  </si>
  <si>
    <t>PPC / Advertising incl VAT (TTM)</t>
  </si>
  <si>
    <t>Output VAT (not registered)</t>
  </si>
  <si>
    <t>COGS (TTM, bottom-up)</t>
  </si>
  <si>
    <t>NET PROFIT (TTM)</t>
  </si>
  <si>
    <t>TACoS %</t>
  </si>
  <si>
    <t>Net margin %</t>
  </si>
  <si>
    <t>Refund rate %</t>
  </si>
  <si>
    <t>Blended landed £/unit</t>
  </si>
  <si>
    <t>Avg monthly net sales</t>
  </si>
  <si>
    <t>Sensitivity — NET PROFIT (TTM)</t>
  </si>
  <si>
    <t>Year-on-year (Jun)</t>
  </si>
  <si>
    <t>rows = landed £/unit · cols = VAT status · PPC included, no OpEx</t>
  </si>
  <si>
    <t>Jun-25 net sales</t>
  </si>
  <si>
    <t>Landed \ VAT</t>
  </si>
  <si>
    <t>Not registered</t>
  </si>
  <si>
    <t>If registered*</t>
  </si>
  <si>
    <t>Jun-26 net sales</t>
  </si>
  <si>
    <t>YoY change %</t>
  </si>
  <si>
    <t>*If registered: output VAT applies; some input VAT would be reclaimable (not modelled), so treat as a rough floor.</t>
  </si>
  <si>
    <t>Top SKU</t>
  </si>
  <si>
    <t>Top 5 SKUs</t>
  </si>
  <si>
    <t>Loom + Fidget families</t>
  </si>
  <si>
    <t>TRAFFIC &amp; CONVERSION — from Business Reports (Detail Page Sales &amp; Traffic)</t>
  </si>
  <si>
    <t>Blue = actual. Conversion = units ordered / sessions. Buy Box = session-weighted. TTM = Jul-25 to Jun-26.</t>
  </si>
  <si>
    <t>Metric</t>
  </si>
  <si>
    <t xml:space="preserve">    Active child ASINs</t>
  </si>
  <si>
    <t>—</t>
  </si>
  <si>
    <t xml:space="preserve">    Sessions</t>
  </si>
  <si>
    <t xml:space="preserve">    Page views</t>
  </si>
  <si>
    <t xml:space="preserve">    Units ordered</t>
  </si>
  <si>
    <t xml:space="preserve">    Conversion % (units / sessions)</t>
  </si>
  <si>
    <t xml:space="preserve">    Buy Box % (session-weighted)</t>
  </si>
  <si>
    <t>Read-outs</t>
  </si>
  <si>
    <t>•  Conversion is healthy (TTM ~15.4%); peaked in Dec-25 (seasonal) and has softened to ~12-14% in Apr-Jun 2026 — mild downtrend worth watching.</t>
  </si>
  <si>
    <t>•  Buy Box sat at ~99% all year, then DROPPED to 92% in Jun-26 — investigate: possible hijacker, pricing/suppression, or stock issue. Ask the seller directly.</t>
  </si>
  <si>
    <t>•  Active ASIN count drifts up to 21 by Jun-26, but sales stay concentrated in a few (see SKU tab).</t>
  </si>
  <si>
    <t>•  Sessions have eased from the autumn/Q4 peak — partly seasonal; confirm it isn't a ranking or ad-spend pullback.</t>
  </si>
  <si>
    <t>PPC INVOICES — 42 Amazon advertising tax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</si>
</sst>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£#,##0;&quot;(£&quot;#,##0\);\-"/>
    <numFmt numFmtId="165" formatCode="\£#,##0.00;&quot;(£&quot;#,##0.00\);\-"/>
    <numFmt numFmtId="166" formatCode="#,##0;\(#,##0\);\-"/>
    <numFmt numFmtId="167" formatCode="0.0%"/>
  </numFmts>
  <fonts count="3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2"/>
      <color rgb="FF006100"/>
      <name val="Arial"/>
      <family val="2"/>
    </font>
    <font>
      <sz val="10"/>
      <color rgb="FF000000"/>
      <name val="Arial"/>
      <family val="2"/>
    </font>
    <font>
      <b/>
      <sz val="12"/>
      <color rgb="FFC00000"/>
      <name val="Arial"/>
      <family val="2"/>
    </font>
    <font>
      <sz val="10"/>
      <color rgb="FFC00000"/>
      <name val="Arial"/>
      <family val="2"/>
    </font>
    <font>
      <b/>
      <sz val="12"/>
      <color rgb="FFBF8F00"/>
      <name val="Arial"/>
      <family val="2"/>
    </font>
    <font>
      <sz val="10"/>
      <color rgb="FF7F6000"/>
      <name val="Arial"/>
      <family val="2"/>
    </font>
    <font>
      <b/>
      <sz val="12"/>
      <color rgb="FF1F3864"/>
      <name val="Arial"/>
      <family val="2"/>
    </font>
    <font>
      <sz val="10"/>
      <color rgb="FF404040"/>
      <name val="Arial"/>
      <family val="2"/>
    </font>
    <font>
      <b/>
      <sz val="13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008000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  <font>
      <i/>
      <sz val="9"/>
      <color rgb="FFC00000"/>
      <name val="Arial"/>
      <family val="2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F3864"/>
      <name val="Arial"/>
      <family val="2"/>
    </font>
    <font>
      <i/>
      <sz val="9"/>
      <color rgb="FF404040"/>
      <name val="Arial"/>
      <family val="2"/>
    </font>
    <font>
      <sz val="8"/>
      <color rgb="FF000000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008000"/>
      <name val="Arial"/>
      <family val="2"/>
    </font>
    <font>
      <sz val="9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1" fillId="0" borderId="0" xfId="0" applyFont="1" applyBorder="1" applyAlignment="1">
      <alignment vertical="center" wrapText="1"/>
    </xf>
    <xf numFmtId="0" fontId="29" fillId="2" borderId="0" xfId="0" applyFont="1" applyFill="1" applyBorder="1" applyAlignment="1">
      <alignment vertical="center"/>
    </xf>
    <xf numFmtId="0" fontId="28" fillId="3" borderId="0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4" fillId="3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0" fillId="0" borderId="0" xfId="0" applyFont="1" applyBorder="1" applyAlignment="1">
      <alignment vertical="center" wrapText="1"/>
    </xf>
    <xf numFmtId="0" fontId="14" fillId="3" borderId="0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0" fillId="3" borderId="0" xfId="0" applyFill="1"/>
    <xf numFmtId="0" fontId="5" fillId="0" borderId="0" xfId="0" applyFont="1" applyAlignment="1">
      <alignment vertical="center"/>
    </xf>
    <xf numFmtId="164" fontId="1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16" fillId="4" borderId="0" xfId="0" applyFont="1" applyFill="1" applyAlignment="1">
      <alignment vertical="center"/>
    </xf>
    <xf numFmtId="164" fontId="16" fillId="4" borderId="0" xfId="0" applyNumberFormat="1" applyFont="1" applyFill="1" applyAlignment="1">
      <alignment horizontal="right" vertical="center"/>
    </xf>
    <xf numFmtId="0" fontId="17" fillId="0" borderId="0" xfId="0" applyFont="1" applyAlignment="1">
      <alignment vertical="center"/>
    </xf>
    <xf numFmtId="164" fontId="18" fillId="0" borderId="0" xfId="0" applyNumberFormat="1" applyFont="1" applyAlignment="1">
      <alignment horizontal="right" vertical="center"/>
    </xf>
    <xf numFmtId="0" fontId="17" fillId="5" borderId="0" xfId="0" applyFont="1" applyFill="1" applyAlignment="1">
      <alignment vertical="center"/>
    </xf>
    <xf numFmtId="165" fontId="17" fillId="5" borderId="0" xfId="0" applyNumberFormat="1" applyFont="1" applyFill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4" fillId="3" borderId="1" xfId="0" applyFont="1" applyFill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0" fontId="16" fillId="4" borderId="1" xfId="0" applyFont="1" applyFill="1" applyBorder="1" applyAlignment="1">
      <alignment vertical="center"/>
    </xf>
    <xf numFmtId="164" fontId="16" fillId="4" borderId="1" xfId="0" applyNumberFormat="1" applyFont="1" applyFill="1" applyBorder="1" applyAlignment="1">
      <alignment horizontal="right" vertical="center"/>
    </xf>
    <xf numFmtId="167" fontId="16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167" fontId="16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165" fontId="15" fillId="6" borderId="1" xfId="0" applyNumberFormat="1" applyFont="1" applyFill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16" fillId="4" borderId="1" xfId="0" applyNumberFormat="1" applyFont="1" applyFill="1" applyBorder="1" applyAlignment="1">
      <alignment horizontal="right" vertical="center"/>
    </xf>
    <xf numFmtId="166" fontId="16" fillId="4" borderId="1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165" fontId="16" fillId="0" borderId="1" xfId="0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" fontId="16" fillId="4" borderId="1" xfId="0" applyNumberFormat="1" applyFont="1" applyFill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horizontal="right" vertical="center"/>
    </xf>
    <xf numFmtId="165" fontId="23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right" vertical="center"/>
    </xf>
    <xf numFmtId="166" fontId="30" fillId="0" borderId="1" xfId="0" applyNumberFormat="1" applyFont="1" applyBorder="1" applyAlignment="1">
      <alignment horizontal="right" vertical="center"/>
    </xf>
    <xf numFmtId="165" fontId="30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167" fontId="30" fillId="0" borderId="1" xfId="0" applyNumberFormat="1" applyFont="1" applyBorder="1" applyAlignment="1">
      <alignment horizontal="right" vertical="center"/>
    </xf>
    <xf numFmtId="167" fontId="19" fillId="0" borderId="1" xfId="0" applyNumberFormat="1" applyFont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0" fontId="16" fillId="4" borderId="1" xfId="0" applyFont="1" applyFill="1" applyBorder="1" applyAlignment="1">
      <alignment horizontal="center" vertical="center"/>
    </xf>
    <xf numFmtId="165" fontId="16" fillId="4" borderId="1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167" fontId="1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BF8F00"/>
      <rgbColor rgb="FFFF6600"/>
      <rgbColor rgb="FF595959"/>
      <rgbColor rgb="FF969696"/>
      <rgbColor rgb="FF1F3864"/>
      <rgbColor rgb="FF4F81BD"/>
      <rgbColor rgb="FF0061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product family (TTM £)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'SKU Concentration'!$B$25:$B$27</c:f>
              <c:strCache>
                <c:ptCount val="3"/>
                <c:pt idx="0">
                  <c:v>Loom Bands</c:v>
                </c:pt>
                <c:pt idx="1">
                  <c:v>Fidget Pen</c:v>
                </c:pt>
                <c:pt idx="2">
                  <c:v>Other</c:v>
                </c:pt>
              </c:strCache>
            </c:strRef>
          </c:cat>
          <c:val>
            <c:numRef>
              <c:f>'SKU Concentration'!$C$25:$C$27</c:f>
              <c:numCache>
                <c:formatCode>\£#,##0;"(£"#,##0\);\-</c:formatCode>
                <c:ptCount val="3"/>
                <c:pt idx="0">
                  <c:v>50750.85</c:v>
                </c:pt>
                <c:pt idx="1">
                  <c:v>37201.919999999998</c:v>
                </c:pt>
                <c:pt idx="2">
                  <c:v>18883.169999999998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2-495B-B9F5-2EAAADD2B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9376"/>
        <c:axId val="65984621"/>
      </c:barChart>
      <c:catAx>
        <c:axId val="322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84621"/>
        <c:crosses val="autoZero"/>
        <c:auto val="1"/>
        <c:lblAlgn val="ctr"/>
        <c:lblOffset val="100"/>
        <c:noMultiLvlLbl val="0"/>
      </c:catAx>
      <c:valAx>
        <c:axId val="65984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69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Service-fee split by month (£, cost) — Subscription vs Deal vs Coupon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'Fee Reconciliation'!$E$27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'Fee Reconciliation'!$B$28:$B$40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'Fee Reconciliation'!$E$28:$E$40</c:f>
              <c:numCache>
                <c:formatCode>\£#,##0;"(£"#,##0\);\-</c:formatCode>
                <c:ptCount val="13"/>
                <c:pt idx="0">
                  <c:v>-30</c:v>
                </c:pt>
                <c:pt idx="1">
                  <c:v>-30</c:v>
                </c:pt>
                <c:pt idx="2">
                  <c:v>-30</c:v>
                </c:pt>
                <c:pt idx="3">
                  <c:v>-30</c:v>
                </c:pt>
                <c:pt idx="4">
                  <c:v>-30</c:v>
                </c:pt>
                <c:pt idx="5">
                  <c:v>-30</c:v>
                </c:pt>
                <c:pt idx="6">
                  <c:v>-30</c:v>
                </c:pt>
                <c:pt idx="7">
                  <c:v>-30</c:v>
                </c:pt>
                <c:pt idx="8">
                  <c:v>-30</c:v>
                </c:pt>
                <c:pt idx="9">
                  <c:v>-30</c:v>
                </c:pt>
                <c:pt idx="10">
                  <c:v>-30</c:v>
                </c:pt>
                <c:pt idx="11">
                  <c:v>-30</c:v>
                </c:pt>
                <c:pt idx="12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E-4029-AA15-541CFE51D0DD}"/>
            </c:ext>
          </c:extLst>
        </c:ser>
        <c:ser>
          <c:idx val="1"/>
          <c:order val="1"/>
          <c:tx>
            <c:strRef>
              <c:f>'Fee Reconciliation'!$F$27</c:f>
              <c:strCache>
                <c:ptCount val="1"/>
                <c:pt idx="0">
                  <c:v>Deal fees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'Fee Reconciliation'!$B$28:$B$40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'Fee Reconciliation'!$F$28:$F$40</c:f>
              <c:numCache>
                <c:formatCode>\£#,##0;"(£"#,##0\);\-</c:formatCode>
                <c:ptCount val="13"/>
                <c:pt idx="0">
                  <c:v>-60</c:v>
                </c:pt>
                <c:pt idx="1">
                  <c:v>-34.67</c:v>
                </c:pt>
                <c:pt idx="2">
                  <c:v>0</c:v>
                </c:pt>
                <c:pt idx="3">
                  <c:v>-10.07</c:v>
                </c:pt>
                <c:pt idx="4">
                  <c:v>-109.19</c:v>
                </c:pt>
                <c:pt idx="5">
                  <c:v>-34.57</c:v>
                </c:pt>
                <c:pt idx="6">
                  <c:v>0</c:v>
                </c:pt>
                <c:pt idx="7">
                  <c:v>0</c:v>
                </c:pt>
                <c:pt idx="8">
                  <c:v>-83.22</c:v>
                </c:pt>
                <c:pt idx="9">
                  <c:v>-140.15</c:v>
                </c:pt>
                <c:pt idx="10">
                  <c:v>-118.92</c:v>
                </c:pt>
                <c:pt idx="11">
                  <c:v>-75.459999999999994</c:v>
                </c:pt>
                <c:pt idx="12">
                  <c:v>-31.7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E-4029-AA15-541CFE51D0DD}"/>
            </c:ext>
          </c:extLst>
        </c:ser>
        <c:ser>
          <c:idx val="2"/>
          <c:order val="2"/>
          <c:tx>
            <c:strRef>
              <c:f>'Fee Reconciliation'!$G$27</c:f>
              <c:strCache>
                <c:ptCount val="1"/>
                <c:pt idx="0">
                  <c:v>Coupon fees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'Fee Reconciliation'!$B$28:$B$40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'Fee Reconciliation'!$G$28:$G$40</c:f>
              <c:numCache>
                <c:formatCode>\£#,##0;"(£"#,##0\);\-</c:formatCode>
                <c:ptCount val="13"/>
                <c:pt idx="0">
                  <c:v>-39.96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EE-4029-AA15-541CFE51D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85336"/>
        <c:axId val="34301454"/>
      </c:barChart>
      <c:catAx>
        <c:axId val="7618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01454"/>
        <c:crosses val="autoZero"/>
        <c:auto val="1"/>
        <c:lblAlgn val="ctr"/>
        <c:lblOffset val="100"/>
        <c:noMultiLvlLbl val="0"/>
      </c:catAx>
      <c:valAx>
        <c:axId val="34301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£ (negative = cost)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85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Sales by Month (£)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(from PDFs)'!$B$3:$N$3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'P&amp;L (from PDFs)'!$B$9:$N$9</c:f>
              <c:numCache>
                <c:formatCode>\£#,##0;"(£"#,##0\);\-</c:formatCode>
                <c:ptCount val="13"/>
                <c:pt idx="0">
                  <c:v>6513.2299999999987</c:v>
                </c:pt>
                <c:pt idx="1">
                  <c:v>7337.39</c:v>
                </c:pt>
                <c:pt idx="2">
                  <c:v>5900.17</c:v>
                </c:pt>
                <c:pt idx="3">
                  <c:v>9396.8100000000013</c:v>
                </c:pt>
                <c:pt idx="4">
                  <c:v>8083.9000000000005</c:v>
                </c:pt>
                <c:pt idx="5">
                  <c:v>14122.810000000001</c:v>
                </c:pt>
                <c:pt idx="6">
                  <c:v>22130.29</c:v>
                </c:pt>
                <c:pt idx="7">
                  <c:v>6854.44</c:v>
                </c:pt>
                <c:pt idx="8">
                  <c:v>5585.78</c:v>
                </c:pt>
                <c:pt idx="9">
                  <c:v>7577.1500000000005</c:v>
                </c:pt>
                <c:pt idx="10">
                  <c:v>6992.45</c:v>
                </c:pt>
                <c:pt idx="11">
                  <c:v>6564.6599999999989</c:v>
                </c:pt>
                <c:pt idx="12">
                  <c:v>6143.81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D-4732-8F57-8DA2C2053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94193"/>
        <c:axId val="30153388"/>
      </c:barChart>
      <c:catAx>
        <c:axId val="31941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53388"/>
        <c:crosses val="autoZero"/>
        <c:auto val="1"/>
        <c:lblAlgn val="ctr"/>
        <c:lblOffset val="100"/>
        <c:noMultiLvlLbl val="0"/>
      </c:catAx>
      <c:valAx>
        <c:axId val="30153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41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TACoS % by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(from PDFs)'!$B$3:$N$3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'P&amp;L (from PDFs)'!$B$37:$N$37</c:f>
              <c:numCache>
                <c:formatCode>0.0%</c:formatCode>
                <c:ptCount val="13"/>
                <c:pt idx="0">
                  <c:v>9.352041920828838E-2</c:v>
                </c:pt>
                <c:pt idx="1">
                  <c:v>2.8233472665348303E-2</c:v>
                </c:pt>
                <c:pt idx="2">
                  <c:v>0.32472284696881615</c:v>
                </c:pt>
                <c:pt idx="3">
                  <c:v>0.22110588593363065</c:v>
                </c:pt>
                <c:pt idx="4">
                  <c:v>0.19328418213980875</c:v>
                </c:pt>
                <c:pt idx="5">
                  <c:v>0.11643433565982972</c:v>
                </c:pt>
                <c:pt idx="6">
                  <c:v>0.11409068746952707</c:v>
                </c:pt>
                <c:pt idx="7">
                  <c:v>0.24701069671628903</c:v>
                </c:pt>
                <c:pt idx="8">
                  <c:v>0.15059848400760503</c:v>
                </c:pt>
                <c:pt idx="9">
                  <c:v>0.2294081547811512</c:v>
                </c:pt>
                <c:pt idx="10">
                  <c:v>0.22594655664323662</c:v>
                </c:pt>
                <c:pt idx="11">
                  <c:v>0.20358099277037961</c:v>
                </c:pt>
                <c:pt idx="12">
                  <c:v>0.25073203761184021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5E-4B8E-8151-30818825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50592"/>
        <c:axId val="45795396"/>
      </c:lineChart>
      <c:catAx>
        <c:axId val="857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95396"/>
        <c:crosses val="autoZero"/>
        <c:auto val="1"/>
        <c:lblAlgn val="ctr"/>
        <c:lblOffset val="100"/>
        <c:noMultiLvlLbl val="0"/>
      </c:catAx>
      <c:valAx>
        <c:axId val="45795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50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% by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&amp; Conversion'!$B$3:$N$3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'Traffic &amp; Conversion'!$B$8:$N$8</c:f>
              <c:numCache>
                <c:formatCode>0.0%</c:formatCode>
                <c:ptCount val="13"/>
                <c:pt idx="0">
                  <c:v>0.13183023872679045</c:v>
                </c:pt>
                <c:pt idx="1">
                  <c:v>0.15897799858055359</c:v>
                </c:pt>
                <c:pt idx="2">
                  <c:v>0.17228780213603148</c:v>
                </c:pt>
                <c:pt idx="3">
                  <c:v>0.15171351559491722</c:v>
                </c:pt>
                <c:pt idx="4">
                  <c:v>0.14714424007744434</c:v>
                </c:pt>
                <c:pt idx="5">
                  <c:v>0.16554809843400448</c:v>
                </c:pt>
                <c:pt idx="6">
                  <c:v>0.19380154296355415</c:v>
                </c:pt>
                <c:pt idx="7">
                  <c:v>0.14398092967818832</c:v>
                </c:pt>
                <c:pt idx="8">
                  <c:v>0.14487300094073377</c:v>
                </c:pt>
                <c:pt idx="9">
                  <c:v>0.14285714285714285</c:v>
                </c:pt>
                <c:pt idx="10">
                  <c:v>0.12320044296788484</c:v>
                </c:pt>
                <c:pt idx="11">
                  <c:v>0.12384959242703129</c:v>
                </c:pt>
                <c:pt idx="12">
                  <c:v>0.14134116053285167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F-4ABB-8CB5-8DBCCC79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697052"/>
        <c:axId val="88252293"/>
      </c:lineChart>
      <c:catAx>
        <c:axId val="41697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52293"/>
        <c:crosses val="autoZero"/>
        <c:auto val="1"/>
        <c:lblAlgn val="ctr"/>
        <c:lblOffset val="100"/>
        <c:noMultiLvlLbl val="0"/>
      </c:catAx>
      <c:valAx>
        <c:axId val="88252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97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Sessions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&amp; Conversion'!$B$3:$N$3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'Traffic &amp; Conversion'!$B$5:$N$5</c:f>
              <c:numCache>
                <c:formatCode>#,##0;\(#,##0\);\-</c:formatCode>
                <c:ptCount val="13"/>
                <c:pt idx="0">
                  <c:v>3770</c:v>
                </c:pt>
                <c:pt idx="1">
                  <c:v>4227</c:v>
                </c:pt>
                <c:pt idx="2">
                  <c:v>3558</c:v>
                </c:pt>
                <c:pt idx="3">
                  <c:v>5194</c:v>
                </c:pt>
                <c:pt idx="4">
                  <c:v>5165</c:v>
                </c:pt>
                <c:pt idx="5">
                  <c:v>7152</c:v>
                </c:pt>
                <c:pt idx="6">
                  <c:v>7518</c:v>
                </c:pt>
                <c:pt idx="7">
                  <c:v>4195</c:v>
                </c:pt>
                <c:pt idx="8">
                  <c:v>3189</c:v>
                </c:pt>
                <c:pt idx="9">
                  <c:v>4011</c:v>
                </c:pt>
                <c:pt idx="10">
                  <c:v>3612</c:v>
                </c:pt>
                <c:pt idx="11">
                  <c:v>3803</c:v>
                </c:pt>
                <c:pt idx="12">
                  <c:v>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3-4803-B3ED-BAB0E660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557"/>
        <c:axId val="29550272"/>
      </c:barChart>
      <c:catAx>
        <c:axId val="1306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50272"/>
        <c:crosses val="autoZero"/>
        <c:auto val="1"/>
        <c:lblAlgn val="ctr"/>
        <c:lblOffset val="100"/>
        <c:noMultiLvlLbl val="0"/>
      </c:catAx>
      <c:valAx>
        <c:axId val="29550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6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Buy Box % by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&amp; Conversion'!$B$3:$N$3</c:f>
              <c:strCache>
                <c:ptCount val="13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</c:strCache>
            </c:strRef>
          </c:cat>
          <c:val>
            <c:numRef>
              <c:f>'Traffic &amp; Conversion'!$B$9:$N$9</c:f>
              <c:numCache>
                <c:formatCode>0.0%</c:formatCode>
                <c:ptCount val="13"/>
                <c:pt idx="0">
                  <c:v>0.999</c:v>
                </c:pt>
                <c:pt idx="1">
                  <c:v>0.996</c:v>
                </c:pt>
                <c:pt idx="2">
                  <c:v>0.996</c:v>
                </c:pt>
                <c:pt idx="3">
                  <c:v>0.99199999999999999</c:v>
                </c:pt>
                <c:pt idx="4">
                  <c:v>0.996</c:v>
                </c:pt>
                <c:pt idx="5">
                  <c:v>0.99299999999999999</c:v>
                </c:pt>
                <c:pt idx="6">
                  <c:v>0.99299999999999999</c:v>
                </c:pt>
                <c:pt idx="7">
                  <c:v>0.99299999999999999</c:v>
                </c:pt>
                <c:pt idx="8">
                  <c:v>0.99199999999999999</c:v>
                </c:pt>
                <c:pt idx="9">
                  <c:v>0.98899999999999999</c:v>
                </c:pt>
                <c:pt idx="10">
                  <c:v>0.99099999999999999</c:v>
                </c:pt>
                <c:pt idx="11">
                  <c:v>0.98499999999999999</c:v>
                </c:pt>
                <c:pt idx="12">
                  <c:v>0.92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2D-45C8-8A1C-5A687407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69370"/>
        <c:axId val="65860403"/>
      </c:lineChart>
      <c:catAx>
        <c:axId val="6569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60403"/>
        <c:crosses val="autoZero"/>
        <c:auto val="1"/>
        <c:lblAlgn val="ctr"/>
        <c:lblOffset val="100"/>
        <c:noMultiLvlLbl val="0"/>
      </c:catAx>
      <c:valAx>
        <c:axId val="65860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12</xdr:col>
      <xdr:colOff>290520</xdr:colOff>
      <xdr:row>15</xdr:row>
      <xdr:rowOff>53640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10</xdr:col>
      <xdr:colOff>362520</xdr:colOff>
      <xdr:row>57</xdr:row>
      <xdr:rowOff>21960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4</xdr:col>
      <xdr:colOff>1494060</xdr:colOff>
      <xdr:row>38</xdr:row>
      <xdr:rowOff>43200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4</xdr:col>
      <xdr:colOff>1494060</xdr:colOff>
      <xdr:row>54</xdr:row>
      <xdr:rowOff>42840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41400</xdr:colOff>
      <xdr:row>28</xdr:row>
      <xdr:rowOff>53640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41400</xdr:colOff>
      <xdr:row>42</xdr:row>
      <xdr:rowOff>53640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16</xdr:row>
      <xdr:rowOff>0</xdr:rowOff>
    </xdr:from>
    <xdr:to>
      <xdr:col>15</xdr:col>
      <xdr:colOff>41040</xdr:colOff>
      <xdr:row>28</xdr:row>
      <xdr:rowOff>53640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"/>
  <sheetViews>
    <sheetView showGridLines="0" topLeftCell="A24" zoomScaleNormal="100" workbookViewId="0">
      <selection activeCell="B32" sqref="B32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21" x14ac:dyDescent="0.3">
      <c r="B2" s="13" t="s">
        <v>0</v>
      </c>
    </row>
    <row r="4" spans="2:2" x14ac:dyDescent="0.3">
      <c r="B4" s="14" t="s">
        <v>1</v>
      </c>
    </row>
    <row r="6" spans="2:2" ht="15.6" x14ac:dyDescent="0.3">
      <c r="B6" s="15" t="s">
        <v>2</v>
      </c>
    </row>
    <row r="7" spans="2:2" ht="27.75" customHeight="1" x14ac:dyDescent="0.3">
      <c r="B7" s="16" t="s">
        <v>3</v>
      </c>
    </row>
    <row r="8" spans="2:2" ht="27.75" customHeight="1" x14ac:dyDescent="0.3">
      <c r="B8" s="16" t="s">
        <v>4</v>
      </c>
    </row>
    <row r="9" spans="2:2" ht="27.75" customHeight="1" x14ac:dyDescent="0.3">
      <c r="B9" s="16" t="s">
        <v>5</v>
      </c>
    </row>
    <row r="10" spans="2:2" ht="27.75" customHeight="1" x14ac:dyDescent="0.3">
      <c r="B10" s="16" t="s">
        <v>6</v>
      </c>
    </row>
    <row r="11" spans="2:2" ht="27.75" customHeight="1" x14ac:dyDescent="0.3">
      <c r="B11" s="16" t="s">
        <v>7</v>
      </c>
    </row>
    <row r="13" spans="2:2" ht="15.6" x14ac:dyDescent="0.3">
      <c r="B13" s="17" t="s">
        <v>8</v>
      </c>
    </row>
    <row r="14" spans="2:2" ht="42" customHeight="1" x14ac:dyDescent="0.3">
      <c r="B14" s="18" t="s">
        <v>9</v>
      </c>
    </row>
    <row r="15" spans="2:2" ht="42" customHeight="1" x14ac:dyDescent="0.3">
      <c r="B15" s="18" t="s">
        <v>10</v>
      </c>
    </row>
    <row r="16" spans="2:2" ht="42" customHeight="1" x14ac:dyDescent="0.3">
      <c r="B16" s="18" t="s">
        <v>11</v>
      </c>
    </row>
    <row r="18" spans="2:2" ht="15.6" x14ac:dyDescent="0.3">
      <c r="B18" s="19" t="s">
        <v>12</v>
      </c>
    </row>
    <row r="19" spans="2:2" ht="42" customHeight="1" x14ac:dyDescent="0.3">
      <c r="B19" s="20" t="s">
        <v>13</v>
      </c>
    </row>
    <row r="20" spans="2:2" ht="42" customHeight="1" x14ac:dyDescent="0.3">
      <c r="B20" s="20" t="s">
        <v>14</v>
      </c>
    </row>
    <row r="21" spans="2:2" ht="42" customHeight="1" x14ac:dyDescent="0.3">
      <c r="B21" s="20" t="s">
        <v>15</v>
      </c>
    </row>
    <row r="22" spans="2:2" ht="42" customHeight="1" x14ac:dyDescent="0.3">
      <c r="B22" s="20" t="s">
        <v>16</v>
      </c>
    </row>
    <row r="23" spans="2:2" ht="42" customHeight="1" x14ac:dyDescent="0.3">
      <c r="B23" s="20" t="s">
        <v>17</v>
      </c>
    </row>
    <row r="24" spans="2:2" ht="42" customHeight="1" x14ac:dyDescent="0.3">
      <c r="B24" s="20" t="s">
        <v>18</v>
      </c>
    </row>
    <row r="26" spans="2:2" ht="15.6" x14ac:dyDescent="0.3">
      <c r="B26" s="21" t="s">
        <v>19</v>
      </c>
    </row>
    <row r="27" spans="2:2" ht="43.5" customHeight="1" x14ac:dyDescent="0.3">
      <c r="B27" s="22" t="s">
        <v>20</v>
      </c>
    </row>
    <row r="28" spans="2:2" ht="43.5" customHeight="1" x14ac:dyDescent="0.3">
      <c r="B28" s="22" t="s">
        <v>21</v>
      </c>
    </row>
    <row r="29" spans="2:2" ht="43.5" customHeight="1" x14ac:dyDescent="0.3">
      <c r="B29" s="22" t="s">
        <v>22</v>
      </c>
    </row>
    <row r="30" spans="2:2" ht="43.5" customHeight="1" x14ac:dyDescent="0.3">
      <c r="B30" s="22" t="s">
        <v>23</v>
      </c>
    </row>
    <row r="31" spans="2:2" ht="43.5" customHeight="1" x14ac:dyDescent="0.3">
      <c r="B31" s="22" t="s">
        <v>24</v>
      </c>
    </row>
    <row r="32" spans="2:2" ht="43.5" customHeight="1" x14ac:dyDescent="0.3">
      <c r="B32" s="2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8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P1"/>
    </sheetView>
  </sheetViews>
  <sheetFormatPr defaultColWidth="8.6640625" defaultRowHeight="14.4" x14ac:dyDescent="0.3"/>
  <cols>
    <col min="1" max="1" width="40" customWidth="1"/>
    <col min="2" max="14" width="10.5546875" customWidth="1"/>
    <col min="15" max="15" width="13" customWidth="1"/>
    <col min="16" max="16" width="12" customWidth="1"/>
  </cols>
  <sheetData>
    <row r="1" spans="1:16" ht="21.75" customHeight="1" x14ac:dyDescent="0.3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11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23" t="s">
        <v>28</v>
      </c>
      <c r="B3" s="24" t="s">
        <v>29</v>
      </c>
      <c r="C3" s="24" t="s">
        <v>30</v>
      </c>
      <c r="D3" s="24" t="s">
        <v>31</v>
      </c>
      <c r="E3" s="24" t="s">
        <v>32</v>
      </c>
      <c r="F3" s="24" t="s">
        <v>33</v>
      </c>
      <c r="G3" s="24" t="s">
        <v>34</v>
      </c>
      <c r="H3" s="24" t="s">
        <v>35</v>
      </c>
      <c r="I3" s="24" t="s">
        <v>36</v>
      </c>
      <c r="J3" s="24" t="s">
        <v>37</v>
      </c>
      <c r="K3" s="24" t="s">
        <v>38</v>
      </c>
      <c r="L3" s="24" t="s">
        <v>39</v>
      </c>
      <c r="M3" s="24" t="s">
        <v>40</v>
      </c>
      <c r="N3" s="24" t="s">
        <v>41</v>
      </c>
      <c r="O3" s="24" t="s">
        <v>42</v>
      </c>
      <c r="P3" s="24" t="s">
        <v>43</v>
      </c>
    </row>
    <row r="4" spans="1:16" x14ac:dyDescent="0.3">
      <c r="A4" s="25" t="s">
        <v>44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7" t="s">
        <v>45</v>
      </c>
      <c r="B5" s="28">
        <v>6621.98</v>
      </c>
      <c r="C5" s="28">
        <v>7292.55</v>
      </c>
      <c r="D5" s="28">
        <v>5945.62</v>
      </c>
      <c r="E5" s="28">
        <v>9358.8799999999992</v>
      </c>
      <c r="F5" s="28">
        <v>8112.06</v>
      </c>
      <c r="G5" s="28">
        <v>14133.11</v>
      </c>
      <c r="H5" s="28">
        <v>22261.78</v>
      </c>
      <c r="I5" s="28">
        <v>6844.32</v>
      </c>
      <c r="J5" s="28">
        <v>5540.05</v>
      </c>
      <c r="K5" s="28">
        <v>7593.8</v>
      </c>
      <c r="L5" s="28">
        <v>7048.16</v>
      </c>
      <c r="M5" s="28">
        <v>6570.32</v>
      </c>
      <c r="N5" s="28">
        <v>6135.29</v>
      </c>
      <c r="O5" s="29">
        <f t="shared" ref="O5:O10" si="0">SUM(C5:N5)</f>
        <v>106835.94000000002</v>
      </c>
      <c r="P5" s="29">
        <f>O5/12</f>
        <v>8902.9950000000008</v>
      </c>
    </row>
    <row r="6" spans="1:16" x14ac:dyDescent="0.3">
      <c r="A6" s="27" t="s">
        <v>46</v>
      </c>
      <c r="B6" s="28">
        <v>162.36000000000001</v>
      </c>
      <c r="C6" s="28">
        <v>239.09</v>
      </c>
      <c r="D6" s="28">
        <v>250.83</v>
      </c>
      <c r="E6" s="28">
        <v>289.27999999999997</v>
      </c>
      <c r="F6" s="28">
        <v>202.79</v>
      </c>
      <c r="G6" s="28">
        <v>329.65</v>
      </c>
      <c r="H6" s="28">
        <v>525.5</v>
      </c>
      <c r="I6" s="28">
        <v>352.53</v>
      </c>
      <c r="J6" s="28">
        <v>226.53</v>
      </c>
      <c r="K6" s="28">
        <v>251.49</v>
      </c>
      <c r="L6" s="28">
        <v>244.56</v>
      </c>
      <c r="M6" s="28">
        <v>231.45</v>
      </c>
      <c r="N6" s="28">
        <v>165.76</v>
      </c>
      <c r="O6" s="29">
        <f t="shared" si="0"/>
        <v>3309.46</v>
      </c>
      <c r="P6" s="29">
        <f>O6/12</f>
        <v>275.78833333333336</v>
      </c>
    </row>
    <row r="7" spans="1:16" x14ac:dyDescent="0.3">
      <c r="A7" s="27" t="s">
        <v>47</v>
      </c>
      <c r="B7" s="28">
        <v>-241.64</v>
      </c>
      <c r="C7" s="28">
        <v>-87.65</v>
      </c>
      <c r="D7" s="28">
        <v>-190.32</v>
      </c>
      <c r="E7" s="28">
        <v>-114.8</v>
      </c>
      <c r="F7" s="28">
        <v>-68.39</v>
      </c>
      <c r="G7" s="28">
        <v>-133.72</v>
      </c>
      <c r="H7" s="28">
        <v>-307.44</v>
      </c>
      <c r="I7" s="28">
        <v>-81.22</v>
      </c>
      <c r="J7" s="28">
        <v>-63.75</v>
      </c>
      <c r="K7" s="28">
        <v>-95.15</v>
      </c>
      <c r="L7" s="28">
        <v>-164.93</v>
      </c>
      <c r="M7" s="28">
        <v>-193.27</v>
      </c>
      <c r="N7" s="28">
        <v>-98.04</v>
      </c>
      <c r="O7" s="29">
        <f t="shared" si="0"/>
        <v>-1598.68</v>
      </c>
      <c r="P7" s="29">
        <f>O7/12</f>
        <v>-133.22333333333333</v>
      </c>
    </row>
    <row r="8" spans="1:16" x14ac:dyDescent="0.3">
      <c r="A8" s="27" t="s">
        <v>48</v>
      </c>
      <c r="B8" s="28">
        <v>-29.47</v>
      </c>
      <c r="C8" s="28">
        <v>-106.6</v>
      </c>
      <c r="D8" s="28">
        <v>-105.96</v>
      </c>
      <c r="E8" s="28">
        <v>-136.55000000000001</v>
      </c>
      <c r="F8" s="28">
        <v>-162.56</v>
      </c>
      <c r="G8" s="28">
        <v>-206.23</v>
      </c>
      <c r="H8" s="28">
        <v>-349.55</v>
      </c>
      <c r="I8" s="28">
        <v>-261.19</v>
      </c>
      <c r="J8" s="28">
        <v>-117.05</v>
      </c>
      <c r="K8" s="28">
        <v>-172.99</v>
      </c>
      <c r="L8" s="28">
        <v>-135.34</v>
      </c>
      <c r="M8" s="28">
        <v>-43.84</v>
      </c>
      <c r="N8" s="28">
        <v>-59.2</v>
      </c>
      <c r="O8" s="29">
        <f t="shared" si="0"/>
        <v>-1857.06</v>
      </c>
      <c r="P8" s="29">
        <f>O8/12</f>
        <v>-154.755</v>
      </c>
    </row>
    <row r="9" spans="1:16" x14ac:dyDescent="0.3">
      <c r="A9" s="30" t="s">
        <v>49</v>
      </c>
      <c r="B9" s="31">
        <f t="shared" ref="B9:N9" si="1">SUM(B5:B8)</f>
        <v>6513.2299999999987</v>
      </c>
      <c r="C9" s="31">
        <f t="shared" si="1"/>
        <v>7337.39</v>
      </c>
      <c r="D9" s="31">
        <f t="shared" si="1"/>
        <v>5900.17</v>
      </c>
      <c r="E9" s="31">
        <f t="shared" si="1"/>
        <v>9396.8100000000013</v>
      </c>
      <c r="F9" s="31">
        <f t="shared" si="1"/>
        <v>8083.9000000000005</v>
      </c>
      <c r="G9" s="31">
        <f t="shared" si="1"/>
        <v>14122.810000000001</v>
      </c>
      <c r="H9" s="31">
        <f t="shared" si="1"/>
        <v>22130.29</v>
      </c>
      <c r="I9" s="31">
        <f t="shared" si="1"/>
        <v>6854.44</v>
      </c>
      <c r="J9" s="31">
        <f t="shared" si="1"/>
        <v>5585.78</v>
      </c>
      <c r="K9" s="31">
        <f t="shared" si="1"/>
        <v>7577.1500000000005</v>
      </c>
      <c r="L9" s="31">
        <f t="shared" si="1"/>
        <v>6992.45</v>
      </c>
      <c r="M9" s="31">
        <f t="shared" si="1"/>
        <v>6564.6599999999989</v>
      </c>
      <c r="N9" s="31">
        <f t="shared" si="1"/>
        <v>6143.81</v>
      </c>
      <c r="O9" s="31">
        <f t="shared" si="0"/>
        <v>106689.65999999999</v>
      </c>
      <c r="P9" s="31">
        <f>O9/12</f>
        <v>8890.8049999999985</v>
      </c>
    </row>
    <row r="10" spans="1:16" x14ac:dyDescent="0.3">
      <c r="A10" s="32" t="s">
        <v>50</v>
      </c>
      <c r="B10" s="33">
        <v>6513.23</v>
      </c>
      <c r="C10" s="33">
        <v>7337.39</v>
      </c>
      <c r="D10" s="33">
        <v>5900.17</v>
      </c>
      <c r="E10" s="33">
        <v>9396.81</v>
      </c>
      <c r="F10" s="33">
        <v>8083.9</v>
      </c>
      <c r="G10" s="33">
        <v>14122.81</v>
      </c>
      <c r="H10" s="33">
        <v>22130.29</v>
      </c>
      <c r="I10" s="33">
        <v>6854.44</v>
      </c>
      <c r="J10" s="33">
        <v>5585.78</v>
      </c>
      <c r="K10" s="33">
        <v>7577.15</v>
      </c>
      <c r="L10" s="33">
        <v>6992.45</v>
      </c>
      <c r="M10" s="33">
        <v>6564.66</v>
      </c>
      <c r="N10" s="33">
        <v>6143.81</v>
      </c>
      <c r="O10" s="33">
        <f t="shared" si="0"/>
        <v>106689.65999999999</v>
      </c>
    </row>
    <row r="11" spans="1:16" x14ac:dyDescent="0.3">
      <c r="A11" s="34" t="s">
        <v>51</v>
      </c>
      <c r="B11" s="35">
        <f t="shared" ref="B11:O11" si="2">B9-B10</f>
        <v>0</v>
      </c>
      <c r="C11" s="35">
        <f t="shared" si="2"/>
        <v>0</v>
      </c>
      <c r="D11" s="35">
        <f t="shared" si="2"/>
        <v>0</v>
      </c>
      <c r="E11" s="35">
        <f t="shared" si="2"/>
        <v>0</v>
      </c>
      <c r="F11" s="35">
        <f t="shared" si="2"/>
        <v>0</v>
      </c>
      <c r="G11" s="35">
        <f t="shared" si="2"/>
        <v>0</v>
      </c>
      <c r="H11" s="35">
        <f t="shared" si="2"/>
        <v>0</v>
      </c>
      <c r="I11" s="35">
        <f t="shared" si="2"/>
        <v>0</v>
      </c>
      <c r="J11" s="35">
        <f t="shared" si="2"/>
        <v>0</v>
      </c>
      <c r="K11" s="35">
        <f t="shared" si="2"/>
        <v>0</v>
      </c>
      <c r="L11" s="35">
        <f t="shared" si="2"/>
        <v>0</v>
      </c>
      <c r="M11" s="35">
        <f t="shared" si="2"/>
        <v>0</v>
      </c>
      <c r="N11" s="35">
        <f t="shared" si="2"/>
        <v>0</v>
      </c>
      <c r="O11" s="35">
        <f t="shared" si="2"/>
        <v>0</v>
      </c>
    </row>
    <row r="13" spans="1:16" x14ac:dyDescent="0.3">
      <c r="A13" s="25" t="s">
        <v>52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x14ac:dyDescent="0.3">
      <c r="A14" s="27" t="s">
        <v>53</v>
      </c>
      <c r="B14" s="28">
        <v>-652.36</v>
      </c>
      <c r="C14" s="28">
        <v>-422.38</v>
      </c>
      <c r="D14" s="28">
        <v>-105.31</v>
      </c>
      <c r="E14" s="28">
        <v>-816.83</v>
      </c>
      <c r="F14" s="28">
        <v>-247.56</v>
      </c>
      <c r="G14" s="28">
        <v>-1337.03</v>
      </c>
      <c r="H14" s="28">
        <v>-2546.86</v>
      </c>
      <c r="I14" s="28">
        <v>27.46</v>
      </c>
      <c r="J14" s="28">
        <v>-109.4</v>
      </c>
      <c r="K14" s="28">
        <v>-927.68</v>
      </c>
      <c r="L14" s="28">
        <v>-857.47</v>
      </c>
      <c r="M14" s="28">
        <v>-929.08</v>
      </c>
      <c r="N14" s="28">
        <v>-746.82</v>
      </c>
      <c r="O14" s="29">
        <f t="shared" ref="O14:O20" si="3">SUM(C14:N14)</f>
        <v>-9018.9599999999991</v>
      </c>
      <c r="P14" s="29">
        <f t="shared" ref="P14:P20" si="4">O14/12</f>
        <v>-751.57999999999993</v>
      </c>
    </row>
    <row r="15" spans="1:16" x14ac:dyDescent="0.3">
      <c r="A15" s="27" t="s">
        <v>54</v>
      </c>
      <c r="B15" s="28">
        <v>-130.47</v>
      </c>
      <c r="C15" s="28">
        <v>-84.48</v>
      </c>
      <c r="D15" s="28">
        <v>-21.06</v>
      </c>
      <c r="E15" s="28">
        <v>-163.36000000000001</v>
      </c>
      <c r="F15" s="28">
        <v>-49.51</v>
      </c>
      <c r="G15" s="28">
        <v>-267.41000000000003</v>
      </c>
      <c r="H15" s="28">
        <v>-509.37</v>
      </c>
      <c r="I15" s="28">
        <v>5.49</v>
      </c>
      <c r="J15" s="28">
        <v>-21.88</v>
      </c>
      <c r="K15" s="28">
        <v>-185.53</v>
      </c>
      <c r="L15" s="28">
        <v>-171.49</v>
      </c>
      <c r="M15" s="28">
        <v>-185.82</v>
      </c>
      <c r="N15" s="28">
        <v>-149.36000000000001</v>
      </c>
      <c r="O15" s="29">
        <f t="shared" si="3"/>
        <v>-1803.7800000000002</v>
      </c>
      <c r="P15" s="29">
        <f t="shared" si="4"/>
        <v>-150.31500000000003</v>
      </c>
    </row>
    <row r="16" spans="1:16" x14ac:dyDescent="0.3">
      <c r="A16" s="27" t="s">
        <v>55</v>
      </c>
      <c r="B16" s="28">
        <v>-1399.98</v>
      </c>
      <c r="C16" s="28">
        <v>-1706.32</v>
      </c>
      <c r="D16" s="28">
        <v>-1386.23</v>
      </c>
      <c r="E16" s="28">
        <v>-1994.89</v>
      </c>
      <c r="F16" s="28">
        <v>-1723.09</v>
      </c>
      <c r="G16" s="28">
        <v>-2887.29</v>
      </c>
      <c r="H16" s="28">
        <v>-3897.27</v>
      </c>
      <c r="I16" s="28">
        <v>-1491.82</v>
      </c>
      <c r="J16" s="28">
        <v>-1148.8499999999999</v>
      </c>
      <c r="K16" s="28">
        <v>-1548.76</v>
      </c>
      <c r="L16" s="28">
        <v>-1383.98</v>
      </c>
      <c r="M16" s="28">
        <v>-1435.76</v>
      </c>
      <c r="N16" s="28">
        <v>-1475.08</v>
      </c>
      <c r="O16" s="29">
        <f t="shared" si="3"/>
        <v>-22079.339999999997</v>
      </c>
      <c r="P16" s="29">
        <f t="shared" si="4"/>
        <v>-1839.9449999999997</v>
      </c>
    </row>
    <row r="17" spans="1:16" x14ac:dyDescent="0.3">
      <c r="A17" s="27" t="s">
        <v>56</v>
      </c>
      <c r="B17" s="28">
        <v>-279.99</v>
      </c>
      <c r="C17" s="28">
        <v>-341.26</v>
      </c>
      <c r="D17" s="28">
        <v>-277.25</v>
      </c>
      <c r="E17" s="28">
        <v>-398.98</v>
      </c>
      <c r="F17" s="28">
        <v>-344.62</v>
      </c>
      <c r="G17" s="28">
        <v>-577.46</v>
      </c>
      <c r="H17" s="28">
        <v>-779.45</v>
      </c>
      <c r="I17" s="28">
        <v>-298.36</v>
      </c>
      <c r="J17" s="28">
        <v>-229.77</v>
      </c>
      <c r="K17" s="28">
        <v>-309.75</v>
      </c>
      <c r="L17" s="28">
        <v>-276.79000000000002</v>
      </c>
      <c r="M17" s="28">
        <v>-287.14999999999998</v>
      </c>
      <c r="N17" s="28">
        <v>-295.01</v>
      </c>
      <c r="O17" s="29">
        <f t="shared" si="3"/>
        <v>-4415.8500000000004</v>
      </c>
      <c r="P17" s="29">
        <f t="shared" si="4"/>
        <v>-367.98750000000001</v>
      </c>
    </row>
    <row r="18" spans="1:16" x14ac:dyDescent="0.3">
      <c r="A18" s="27" t="s">
        <v>57</v>
      </c>
      <c r="B18" s="28">
        <v>-169.72</v>
      </c>
      <c r="C18" s="28">
        <v>-101.55</v>
      </c>
      <c r="D18" s="28">
        <v>-158.52000000000001</v>
      </c>
      <c r="E18" s="28">
        <v>-88.89</v>
      </c>
      <c r="F18" s="28">
        <v>-156.97999999999999</v>
      </c>
      <c r="G18" s="28">
        <v>-200.53</v>
      </c>
      <c r="H18" s="28">
        <v>-434.77</v>
      </c>
      <c r="I18" s="28">
        <v>-401.56</v>
      </c>
      <c r="J18" s="28">
        <v>-290.95999999999998</v>
      </c>
      <c r="K18" s="28">
        <v>-265.61</v>
      </c>
      <c r="L18" s="28">
        <v>-237.77</v>
      </c>
      <c r="M18" s="28">
        <v>-41.8</v>
      </c>
      <c r="N18" s="28">
        <v>0</v>
      </c>
      <c r="O18" s="29">
        <f t="shared" si="3"/>
        <v>-2378.94</v>
      </c>
      <c r="P18" s="29">
        <f t="shared" si="4"/>
        <v>-198.245</v>
      </c>
    </row>
    <row r="19" spans="1:16" x14ac:dyDescent="0.3">
      <c r="A19" s="27" t="s">
        <v>58</v>
      </c>
      <c r="B19" s="28">
        <v>-181.33</v>
      </c>
      <c r="C19" s="28">
        <v>-115.1</v>
      </c>
      <c r="D19" s="28">
        <v>-65.67</v>
      </c>
      <c r="E19" s="28">
        <v>-107.04</v>
      </c>
      <c r="F19" s="28">
        <v>-208.84</v>
      </c>
      <c r="G19" s="28">
        <v>-172.2</v>
      </c>
      <c r="H19" s="28">
        <v>-194.8</v>
      </c>
      <c r="I19" s="28">
        <v>-70.2</v>
      </c>
      <c r="J19" s="28">
        <v>-150.37</v>
      </c>
      <c r="K19" s="28">
        <v>-234.79</v>
      </c>
      <c r="L19" s="28">
        <v>-206.4</v>
      </c>
      <c r="M19" s="28">
        <v>-160.16999999999999</v>
      </c>
      <c r="N19" s="28">
        <v>-130.54</v>
      </c>
      <c r="O19" s="29">
        <f t="shared" si="3"/>
        <v>-1816.12</v>
      </c>
      <c r="P19" s="29">
        <f t="shared" si="4"/>
        <v>-151.34333333333333</v>
      </c>
    </row>
    <row r="20" spans="1:16" x14ac:dyDescent="0.3">
      <c r="A20" s="30" t="s">
        <v>59</v>
      </c>
      <c r="B20" s="31">
        <f t="shared" ref="B20:N20" si="5">SUM(B14:B19)</f>
        <v>-2813.85</v>
      </c>
      <c r="C20" s="31">
        <f t="shared" si="5"/>
        <v>-2771.0899999999997</v>
      </c>
      <c r="D20" s="31">
        <f t="shared" si="5"/>
        <v>-2014.04</v>
      </c>
      <c r="E20" s="31">
        <f t="shared" si="5"/>
        <v>-3569.99</v>
      </c>
      <c r="F20" s="31">
        <f t="shared" si="5"/>
        <v>-2730.6</v>
      </c>
      <c r="G20" s="31">
        <f t="shared" si="5"/>
        <v>-5441.9199999999992</v>
      </c>
      <c r="H20" s="31">
        <f t="shared" si="5"/>
        <v>-8362.5199999999986</v>
      </c>
      <c r="I20" s="31">
        <f t="shared" si="5"/>
        <v>-2228.9899999999998</v>
      </c>
      <c r="J20" s="31">
        <f t="shared" si="5"/>
        <v>-1951.23</v>
      </c>
      <c r="K20" s="31">
        <f t="shared" si="5"/>
        <v>-3472.1200000000003</v>
      </c>
      <c r="L20" s="31">
        <f t="shared" si="5"/>
        <v>-3133.9</v>
      </c>
      <c r="M20" s="31">
        <f t="shared" si="5"/>
        <v>-3039.78</v>
      </c>
      <c r="N20" s="31">
        <f t="shared" si="5"/>
        <v>-2796.8100000000004</v>
      </c>
      <c r="O20" s="31">
        <f t="shared" si="3"/>
        <v>-41512.989999999991</v>
      </c>
      <c r="P20" s="31">
        <f t="shared" si="4"/>
        <v>-3459.4158333333326</v>
      </c>
    </row>
    <row r="22" spans="1:16" x14ac:dyDescent="0.3">
      <c r="A22" s="25" t="s">
        <v>60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3">
      <c r="A23" s="27" t="s">
        <v>61</v>
      </c>
      <c r="B23" s="28">
        <v>-507.6</v>
      </c>
      <c r="C23" s="28">
        <v>-172.63</v>
      </c>
      <c r="D23" s="28">
        <v>-1596.6</v>
      </c>
      <c r="E23" s="28">
        <v>-1731.41</v>
      </c>
      <c r="F23" s="28">
        <v>-1302.08</v>
      </c>
      <c r="G23" s="28">
        <v>-1370.32</v>
      </c>
      <c r="H23" s="28">
        <v>-2104.0500000000002</v>
      </c>
      <c r="I23" s="28">
        <v>-1410.93</v>
      </c>
      <c r="J23" s="28">
        <v>-701.01</v>
      </c>
      <c r="K23" s="28">
        <v>-1448.55</v>
      </c>
      <c r="L23" s="28">
        <v>-1316.6</v>
      </c>
      <c r="M23" s="28">
        <v>-1113.7</v>
      </c>
      <c r="N23" s="28">
        <v>-1283.71</v>
      </c>
      <c r="O23" s="29">
        <f>SUM(C23:N23)</f>
        <v>-15551.59</v>
      </c>
      <c r="P23" s="29">
        <f>O23/12</f>
        <v>-1295.9658333333334</v>
      </c>
    </row>
    <row r="24" spans="1:16" x14ac:dyDescent="0.3">
      <c r="A24" s="27" t="s">
        <v>62</v>
      </c>
      <c r="B24" s="28">
        <v>-101.52</v>
      </c>
      <c r="C24" s="28">
        <v>-34.53</v>
      </c>
      <c r="D24" s="28">
        <v>-319.32</v>
      </c>
      <c r="E24" s="28">
        <v>-346.28</v>
      </c>
      <c r="F24" s="28">
        <v>-260.41000000000003</v>
      </c>
      <c r="G24" s="28">
        <v>-274.06</v>
      </c>
      <c r="H24" s="28">
        <v>-420.81</v>
      </c>
      <c r="I24" s="28">
        <v>-282.19</v>
      </c>
      <c r="J24" s="28">
        <v>-140.19999999999999</v>
      </c>
      <c r="K24" s="28">
        <v>-289.70999999999998</v>
      </c>
      <c r="L24" s="28">
        <v>-263.32</v>
      </c>
      <c r="M24" s="28">
        <v>-222.74</v>
      </c>
      <c r="N24" s="28">
        <v>-256.74</v>
      </c>
      <c r="O24" s="29">
        <f>SUM(C24:N24)</f>
        <v>-3110.3099999999995</v>
      </c>
      <c r="P24" s="29">
        <f>O24/12</f>
        <v>-259.19249999999994</v>
      </c>
    </row>
    <row r="25" spans="1:16" x14ac:dyDescent="0.3">
      <c r="A25" s="30" t="s">
        <v>63</v>
      </c>
      <c r="B25" s="31">
        <f t="shared" ref="B25:N25" si="6">B23+B24</f>
        <v>-609.12</v>
      </c>
      <c r="C25" s="31">
        <f t="shared" si="6"/>
        <v>-207.16</v>
      </c>
      <c r="D25" s="31">
        <f t="shared" si="6"/>
        <v>-1915.9199999999998</v>
      </c>
      <c r="E25" s="31">
        <f t="shared" si="6"/>
        <v>-2077.69</v>
      </c>
      <c r="F25" s="31">
        <f t="shared" si="6"/>
        <v>-1562.49</v>
      </c>
      <c r="G25" s="31">
        <f t="shared" si="6"/>
        <v>-1644.3799999999999</v>
      </c>
      <c r="H25" s="31">
        <f t="shared" si="6"/>
        <v>-2524.86</v>
      </c>
      <c r="I25" s="31">
        <f t="shared" si="6"/>
        <v>-1693.1200000000001</v>
      </c>
      <c r="J25" s="31">
        <f t="shared" si="6"/>
        <v>-841.21</v>
      </c>
      <c r="K25" s="31">
        <f t="shared" si="6"/>
        <v>-1738.26</v>
      </c>
      <c r="L25" s="31">
        <f t="shared" si="6"/>
        <v>-1579.9199999999998</v>
      </c>
      <c r="M25" s="31">
        <f t="shared" si="6"/>
        <v>-1336.44</v>
      </c>
      <c r="N25" s="31">
        <f t="shared" si="6"/>
        <v>-1540.45</v>
      </c>
      <c r="O25" s="31">
        <f>SUM(C25:N25)</f>
        <v>-18661.900000000001</v>
      </c>
      <c r="P25" s="31">
        <f>O25/12</f>
        <v>-1555.1583333333335</v>
      </c>
    </row>
    <row r="26" spans="1:16" x14ac:dyDescent="0.3">
      <c r="A26" s="32" t="s">
        <v>64</v>
      </c>
      <c r="B26" s="33">
        <v>-3422.97</v>
      </c>
      <c r="C26" s="33">
        <v>-2978.25</v>
      </c>
      <c r="D26" s="33">
        <v>-3929.96</v>
      </c>
      <c r="E26" s="33">
        <v>-5647.68</v>
      </c>
      <c r="F26" s="33">
        <v>-4293.09</v>
      </c>
      <c r="G26" s="33">
        <v>-7086.3</v>
      </c>
      <c r="H26" s="33">
        <v>-10887.38</v>
      </c>
      <c r="I26" s="33">
        <v>-3922.11</v>
      </c>
      <c r="J26" s="33">
        <v>-2792.44</v>
      </c>
      <c r="K26" s="33">
        <v>-5210.38</v>
      </c>
      <c r="L26" s="33">
        <v>-4713.82</v>
      </c>
      <c r="M26" s="33">
        <v>-4376.22</v>
      </c>
      <c r="N26" s="33">
        <v>-4337.26</v>
      </c>
      <c r="O26" s="33">
        <f>SUM(C26:N26)</f>
        <v>-60174.89</v>
      </c>
    </row>
    <row r="27" spans="1:16" x14ac:dyDescent="0.3">
      <c r="A27" s="34" t="s">
        <v>51</v>
      </c>
      <c r="B27" s="35">
        <f t="shared" ref="B27:O27" si="7">(B20+B25)-B26</f>
        <v>0</v>
      </c>
      <c r="C27" s="35">
        <f t="shared" si="7"/>
        <v>0</v>
      </c>
      <c r="D27" s="35">
        <f t="shared" si="7"/>
        <v>0</v>
      </c>
      <c r="E27" s="35">
        <f t="shared" si="7"/>
        <v>0</v>
      </c>
      <c r="F27" s="35">
        <f t="shared" si="7"/>
        <v>0</v>
      </c>
      <c r="G27" s="35">
        <f t="shared" si="7"/>
        <v>0</v>
      </c>
      <c r="H27" s="35">
        <f t="shared" si="7"/>
        <v>0</v>
      </c>
      <c r="I27" s="35">
        <f t="shared" si="7"/>
        <v>0</v>
      </c>
      <c r="J27" s="35">
        <f t="shared" si="7"/>
        <v>0</v>
      </c>
      <c r="K27" s="35">
        <f t="shared" si="7"/>
        <v>0</v>
      </c>
      <c r="L27" s="35">
        <f t="shared" si="7"/>
        <v>0</v>
      </c>
      <c r="M27" s="35">
        <f t="shared" si="7"/>
        <v>0</v>
      </c>
      <c r="N27" s="35">
        <f t="shared" si="7"/>
        <v>0</v>
      </c>
      <c r="O27" s="35">
        <f t="shared" si="7"/>
        <v>0</v>
      </c>
    </row>
    <row r="29" spans="1:16" x14ac:dyDescent="0.3">
      <c r="A29" s="25" t="s">
        <v>65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 x14ac:dyDescent="0.3">
      <c r="A30" s="27" t="s">
        <v>66</v>
      </c>
      <c r="B30" s="36">
        <v>477</v>
      </c>
      <c r="C30" s="36">
        <v>672</v>
      </c>
      <c r="D30" s="36">
        <v>597</v>
      </c>
      <c r="E30" s="36">
        <v>776</v>
      </c>
      <c r="F30" s="36">
        <v>740</v>
      </c>
      <c r="G30" s="36">
        <v>1136</v>
      </c>
      <c r="H30" s="36">
        <v>1479</v>
      </c>
      <c r="I30" s="36">
        <v>580</v>
      </c>
      <c r="J30" s="36">
        <v>436</v>
      </c>
      <c r="K30" s="36">
        <v>571</v>
      </c>
      <c r="L30" s="36">
        <v>440</v>
      </c>
      <c r="M30" s="36">
        <v>464</v>
      </c>
      <c r="N30" s="36">
        <v>612</v>
      </c>
      <c r="O30" s="37">
        <f>SUM(C30:N30)</f>
        <v>8503</v>
      </c>
      <c r="P30" s="37">
        <f>O30/12</f>
        <v>708.58333333333337</v>
      </c>
    </row>
    <row r="31" spans="1:16" x14ac:dyDescent="0.3">
      <c r="A31" s="27" t="s">
        <v>67</v>
      </c>
      <c r="B31" s="38">
        <f t="shared" ref="B31:O31" si="8">IFERROR(B5/B30,0)</f>
        <v>13.882557651991613</v>
      </c>
      <c r="C31" s="38">
        <f t="shared" si="8"/>
        <v>10.852008928571429</v>
      </c>
      <c r="D31" s="38">
        <f t="shared" si="8"/>
        <v>9.9591624790619768</v>
      </c>
      <c r="E31" s="38">
        <f t="shared" si="8"/>
        <v>12.060412371134019</v>
      </c>
      <c r="F31" s="38">
        <f t="shared" si="8"/>
        <v>10.962243243243243</v>
      </c>
      <c r="G31" s="38">
        <f t="shared" si="8"/>
        <v>12.44111795774648</v>
      </c>
      <c r="H31" s="38">
        <f t="shared" si="8"/>
        <v>15.051913455037187</v>
      </c>
      <c r="I31" s="38">
        <f t="shared" si="8"/>
        <v>11.800551724137931</v>
      </c>
      <c r="J31" s="38">
        <f t="shared" si="8"/>
        <v>12.706536697247707</v>
      </c>
      <c r="K31" s="38">
        <f t="shared" si="8"/>
        <v>13.299124343257443</v>
      </c>
      <c r="L31" s="38">
        <f t="shared" si="8"/>
        <v>16.018545454545453</v>
      </c>
      <c r="M31" s="38">
        <f t="shared" si="8"/>
        <v>14.160172413793102</v>
      </c>
      <c r="N31" s="38">
        <f t="shared" si="8"/>
        <v>10.024983660130719</v>
      </c>
      <c r="O31" s="38">
        <f t="shared" si="8"/>
        <v>12.564499588380574</v>
      </c>
      <c r="P31" s="38">
        <f>O31</f>
        <v>12.564499588380574</v>
      </c>
    </row>
    <row r="32" spans="1:16" x14ac:dyDescent="0.3">
      <c r="A32" s="27" t="s">
        <v>68</v>
      </c>
      <c r="B32" s="39">
        <f>-'COGS Build'!C27</f>
        <v>-2303.11</v>
      </c>
      <c r="C32" s="39">
        <f>-'COGS Build'!D27</f>
        <v>-2247.3200000000006</v>
      </c>
      <c r="D32" s="39">
        <f>-'COGS Build'!E27</f>
        <v>-1373.3700000000003</v>
      </c>
      <c r="E32" s="39">
        <f>-'COGS Build'!F27</f>
        <v>-2465.2299999999996</v>
      </c>
      <c r="F32" s="39">
        <f>-'COGS Build'!G27</f>
        <v>-1935.06</v>
      </c>
      <c r="G32" s="39">
        <f>-'COGS Build'!H27</f>
        <v>-3804.5800000000004</v>
      </c>
      <c r="H32" s="39">
        <f>-'COGS Build'!I27</f>
        <v>-4869.1500000000015</v>
      </c>
      <c r="I32" s="39">
        <f>-'COGS Build'!J27</f>
        <v>-1690.8400000000001</v>
      </c>
      <c r="J32" s="39">
        <f>-'COGS Build'!K27</f>
        <v>-1526.2200000000007</v>
      </c>
      <c r="K32" s="39">
        <f>-'COGS Build'!L27</f>
        <v>-2080.5499999999997</v>
      </c>
      <c r="L32" s="39">
        <f>-'COGS Build'!M27</f>
        <v>-2159.3600000000006</v>
      </c>
      <c r="M32" s="39">
        <f>-'COGS Build'!N27</f>
        <v>-1681.5900000000001</v>
      </c>
      <c r="N32" s="39">
        <f>-'COGS Build'!O27</f>
        <v>-1457.15</v>
      </c>
      <c r="O32" s="29">
        <f>SUM(C32:N32)</f>
        <v>-27290.420000000002</v>
      </c>
      <c r="P32" s="29">
        <f>O32/12</f>
        <v>-2274.2016666666668</v>
      </c>
    </row>
    <row r="33" spans="1:16" x14ac:dyDescent="0.3">
      <c r="A33" s="27" t="s">
        <v>69</v>
      </c>
      <c r="B33" s="29">
        <v>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f>SUM(C33:N33)</f>
        <v>0</v>
      </c>
      <c r="P33" s="29">
        <f>O33/12</f>
        <v>0</v>
      </c>
    </row>
    <row r="34" spans="1:16" x14ac:dyDescent="0.3">
      <c r="A34" s="25" t="s">
        <v>70</v>
      </c>
      <c r="B34" s="40">
        <f t="shared" ref="B34:N34" si="9">B9+B20+B25+B32+B33</f>
        <v>787.14999999999873</v>
      </c>
      <c r="C34" s="40">
        <f t="shared" si="9"/>
        <v>2111.8200000000006</v>
      </c>
      <c r="D34" s="40">
        <f t="shared" si="9"/>
        <v>596.83999999999992</v>
      </c>
      <c r="E34" s="40">
        <f t="shared" si="9"/>
        <v>1283.9000000000019</v>
      </c>
      <c r="F34" s="40">
        <f t="shared" si="9"/>
        <v>1855.7500000000014</v>
      </c>
      <c r="G34" s="40">
        <f t="shared" si="9"/>
        <v>3231.9300000000026</v>
      </c>
      <c r="H34" s="40">
        <f t="shared" si="9"/>
        <v>6373.76</v>
      </c>
      <c r="I34" s="40">
        <f t="shared" si="9"/>
        <v>1241.4899999999998</v>
      </c>
      <c r="J34" s="40">
        <f t="shared" si="9"/>
        <v>1267.119999999999</v>
      </c>
      <c r="K34" s="40">
        <f t="shared" si="9"/>
        <v>286.22000000000071</v>
      </c>
      <c r="L34" s="40">
        <f t="shared" si="9"/>
        <v>119.26999999999953</v>
      </c>
      <c r="M34" s="40">
        <f t="shared" si="9"/>
        <v>506.84999999999854</v>
      </c>
      <c r="N34" s="40">
        <f t="shared" si="9"/>
        <v>349.39999999999986</v>
      </c>
      <c r="O34" s="40">
        <f>SUM(C34:N34)</f>
        <v>19224.350000000006</v>
      </c>
      <c r="P34" s="40">
        <f>O34/12</f>
        <v>1602.0291666666672</v>
      </c>
    </row>
    <row r="36" spans="1:16" x14ac:dyDescent="0.3">
      <c r="A36" s="25" t="s">
        <v>71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 x14ac:dyDescent="0.3">
      <c r="A37" s="27" t="s">
        <v>72</v>
      </c>
      <c r="B37" s="41">
        <f t="shared" ref="B37:O37" si="10">IFERROR(-B25/B9,0)</f>
        <v>9.352041920828838E-2</v>
      </c>
      <c r="C37" s="41">
        <f t="shared" si="10"/>
        <v>2.8233472665348303E-2</v>
      </c>
      <c r="D37" s="41">
        <f t="shared" si="10"/>
        <v>0.32472284696881615</v>
      </c>
      <c r="E37" s="41">
        <f t="shared" si="10"/>
        <v>0.22110588593363065</v>
      </c>
      <c r="F37" s="41">
        <f t="shared" si="10"/>
        <v>0.19328418213980875</v>
      </c>
      <c r="G37" s="41">
        <f t="shared" si="10"/>
        <v>0.11643433565982972</v>
      </c>
      <c r="H37" s="41">
        <f t="shared" si="10"/>
        <v>0.11409068746952707</v>
      </c>
      <c r="I37" s="41">
        <f t="shared" si="10"/>
        <v>0.24701069671628903</v>
      </c>
      <c r="J37" s="41">
        <f t="shared" si="10"/>
        <v>0.15059848400760503</v>
      </c>
      <c r="K37" s="41">
        <f t="shared" si="10"/>
        <v>0.2294081547811512</v>
      </c>
      <c r="L37" s="41">
        <f t="shared" si="10"/>
        <v>0.22594655664323662</v>
      </c>
      <c r="M37" s="41">
        <f t="shared" si="10"/>
        <v>0.20358099277037961</v>
      </c>
      <c r="N37" s="41">
        <f t="shared" si="10"/>
        <v>0.25073203761184021</v>
      </c>
      <c r="O37" s="42">
        <f t="shared" si="10"/>
        <v>0.17491760682337917</v>
      </c>
    </row>
    <row r="38" spans="1:16" x14ac:dyDescent="0.3">
      <c r="A38" s="27" t="s">
        <v>73</v>
      </c>
      <c r="B38" s="41">
        <f t="shared" ref="B38:O38" si="11">IFERROR(-B8/B5,0)</f>
        <v>4.4503305657824397E-3</v>
      </c>
      <c r="C38" s="41">
        <f t="shared" si="11"/>
        <v>1.4617657746604409E-2</v>
      </c>
      <c r="D38" s="41">
        <f t="shared" si="11"/>
        <v>1.7821522398000545E-2</v>
      </c>
      <c r="E38" s="41">
        <f t="shared" si="11"/>
        <v>1.4590421076026193E-2</v>
      </c>
      <c r="F38" s="41">
        <f t="shared" si="11"/>
        <v>2.0039299512084476E-2</v>
      </c>
      <c r="G38" s="41">
        <f t="shared" si="11"/>
        <v>1.4591975863769544E-2</v>
      </c>
      <c r="H38" s="41">
        <f t="shared" si="11"/>
        <v>1.5701799227195671E-2</v>
      </c>
      <c r="I38" s="41">
        <f t="shared" si="11"/>
        <v>3.8161570470112448E-2</v>
      </c>
      <c r="J38" s="41">
        <f t="shared" si="11"/>
        <v>2.1127968159132135E-2</v>
      </c>
      <c r="K38" s="41">
        <f t="shared" si="11"/>
        <v>2.2780426137111856E-2</v>
      </c>
      <c r="L38" s="41">
        <f t="shared" si="11"/>
        <v>1.9202174751992009E-2</v>
      </c>
      <c r="M38" s="41">
        <f t="shared" si="11"/>
        <v>6.6724299577493951E-3</v>
      </c>
      <c r="N38" s="41">
        <f t="shared" si="11"/>
        <v>9.6490956417708048E-3</v>
      </c>
      <c r="O38" s="42">
        <f t="shared" si="11"/>
        <v>1.7382352792515324E-2</v>
      </c>
    </row>
    <row r="39" spans="1:16" x14ac:dyDescent="0.3">
      <c r="A39" s="27" t="s">
        <v>74</v>
      </c>
      <c r="B39" s="41">
        <f t="shared" ref="B39:O39" si="12">IFERROR(-B7/B5,0)</f>
        <v>3.6490596468125851E-2</v>
      </c>
      <c r="C39" s="41">
        <f t="shared" si="12"/>
        <v>1.2019115398591714E-2</v>
      </c>
      <c r="D39" s="41">
        <f t="shared" si="12"/>
        <v>3.2010118372852621E-2</v>
      </c>
      <c r="E39" s="41">
        <f t="shared" si="12"/>
        <v>1.2266425042312757E-2</v>
      </c>
      <c r="F39" s="41">
        <f t="shared" si="12"/>
        <v>8.4306575641698907E-3</v>
      </c>
      <c r="G39" s="41">
        <f t="shared" si="12"/>
        <v>9.4614702637989788E-3</v>
      </c>
      <c r="H39" s="41">
        <f t="shared" si="12"/>
        <v>1.3810216433726324E-2</v>
      </c>
      <c r="I39" s="41">
        <f t="shared" si="12"/>
        <v>1.1866774201089371E-2</v>
      </c>
      <c r="J39" s="41">
        <f t="shared" si="12"/>
        <v>1.1507116361765688E-2</v>
      </c>
      <c r="K39" s="41">
        <f t="shared" si="12"/>
        <v>1.2529958650478021E-2</v>
      </c>
      <c r="L39" s="41">
        <f t="shared" si="12"/>
        <v>2.3400433588340788E-2</v>
      </c>
      <c r="M39" s="41">
        <f t="shared" si="12"/>
        <v>2.9415614460178503E-2</v>
      </c>
      <c r="N39" s="41">
        <f t="shared" si="12"/>
        <v>1.5979684741878542E-2</v>
      </c>
      <c r="O39" s="42">
        <f t="shared" si="12"/>
        <v>1.4963878260443066E-2</v>
      </c>
    </row>
    <row r="40" spans="1:16" x14ac:dyDescent="0.3">
      <c r="A40" s="27" t="s">
        <v>75</v>
      </c>
      <c r="B40" s="41">
        <f t="shared" ref="B40:O40" si="13">IFERROR(-B20/B9,0)</f>
        <v>0.43202067177114895</v>
      </c>
      <c r="C40" s="41">
        <f t="shared" si="13"/>
        <v>0.37766699057839365</v>
      </c>
      <c r="D40" s="41">
        <f t="shared" si="13"/>
        <v>0.34135287627305655</v>
      </c>
      <c r="E40" s="41">
        <f t="shared" si="13"/>
        <v>0.37991509884737473</v>
      </c>
      <c r="F40" s="41">
        <f t="shared" si="13"/>
        <v>0.33778250596865372</v>
      </c>
      <c r="G40" s="41">
        <f t="shared" si="13"/>
        <v>0.38532841552070718</v>
      </c>
      <c r="H40" s="41">
        <f t="shared" si="13"/>
        <v>0.37787665683549554</v>
      </c>
      <c r="I40" s="41">
        <f t="shared" si="13"/>
        <v>0.32518922041771464</v>
      </c>
      <c r="J40" s="41">
        <f t="shared" si="13"/>
        <v>0.34932095428033327</v>
      </c>
      <c r="K40" s="41">
        <f t="shared" si="13"/>
        <v>0.45823561629372522</v>
      </c>
      <c r="L40" s="41">
        <f t="shared" si="13"/>
        <v>0.44818339780763539</v>
      </c>
      <c r="M40" s="41">
        <f t="shared" si="13"/>
        <v>0.46305216111725522</v>
      </c>
      <c r="N40" s="41">
        <f t="shared" si="13"/>
        <v>0.45522403850379489</v>
      </c>
      <c r="O40" s="42">
        <f t="shared" si="13"/>
        <v>0.38910040579377603</v>
      </c>
    </row>
    <row r="41" spans="1:16" x14ac:dyDescent="0.3">
      <c r="A41" s="27" t="s">
        <v>76</v>
      </c>
      <c r="B41" s="41">
        <f t="shared" ref="B41:O41" si="14">IFERROR(B34/B9,0)</f>
        <v>0.12085401559594838</v>
      </c>
      <c r="C41" s="41">
        <f t="shared" si="14"/>
        <v>0.28781623983460064</v>
      </c>
      <c r="D41" s="41">
        <f t="shared" si="14"/>
        <v>0.10115640735775408</v>
      </c>
      <c r="E41" s="41">
        <f t="shared" si="14"/>
        <v>0.13663147387251651</v>
      </c>
      <c r="F41" s="41">
        <f t="shared" si="14"/>
        <v>0.22956122663565867</v>
      </c>
      <c r="G41" s="41">
        <f t="shared" si="14"/>
        <v>0.2288446845918059</v>
      </c>
      <c r="H41" s="41">
        <f t="shared" si="14"/>
        <v>0.28801068580664779</v>
      </c>
      <c r="I41" s="41">
        <f t="shared" si="14"/>
        <v>0.18112201726180402</v>
      </c>
      <c r="J41" s="41">
        <f t="shared" si="14"/>
        <v>0.2268474590836014</v>
      </c>
      <c r="K41" s="41">
        <f t="shared" si="14"/>
        <v>3.7774097120949257E-2</v>
      </c>
      <c r="L41" s="41">
        <f t="shared" si="14"/>
        <v>1.7056968587547933E-2</v>
      </c>
      <c r="M41" s="41">
        <f t="shared" si="14"/>
        <v>7.7208872965240941E-2</v>
      </c>
      <c r="N41" s="41">
        <f t="shared" si="14"/>
        <v>5.6870248266141017E-2</v>
      </c>
      <c r="O41" s="42">
        <f t="shared" si="14"/>
        <v>0.18018943916402028</v>
      </c>
    </row>
    <row r="43" spans="1:16" x14ac:dyDescent="0.3">
      <c r="A43" s="10" t="s">
        <v>77</v>
      </c>
      <c r="B43" s="10"/>
      <c r="C43" s="10"/>
      <c r="D43" s="10"/>
    </row>
    <row r="44" spans="1:16" x14ac:dyDescent="0.3">
      <c r="A44" s="43" t="s">
        <v>78</v>
      </c>
    </row>
    <row r="45" spans="1:16" x14ac:dyDescent="0.3">
      <c r="A45" s="44" t="s">
        <v>79</v>
      </c>
      <c r="B45" s="45">
        <f>IFERROR(-O32/O30,0)</f>
        <v>3.2095048806303659</v>
      </c>
    </row>
    <row r="46" spans="1:16" x14ac:dyDescent="0.3">
      <c r="A46" s="44" t="s">
        <v>80</v>
      </c>
      <c r="B46" s="46" t="s">
        <v>81</v>
      </c>
    </row>
    <row r="47" spans="1:16" x14ac:dyDescent="0.3">
      <c r="A47" s="47" t="s">
        <v>82</v>
      </c>
    </row>
    <row r="48" spans="1:16" x14ac:dyDescent="0.3">
      <c r="A48" s="48" t="s">
        <v>83</v>
      </c>
    </row>
  </sheetData>
  <mergeCells count="3">
    <mergeCell ref="A1:P1"/>
    <mergeCell ref="A2:P2"/>
    <mergeCell ref="A43:D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7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3" customWidth="1"/>
    <col min="2" max="2" width="30" customWidth="1"/>
    <col min="3" max="3" width="14" customWidth="1"/>
    <col min="4" max="4" width="10" customWidth="1"/>
    <col min="5" max="5" width="16" customWidth="1"/>
  </cols>
  <sheetData>
    <row r="2" spans="2:5" ht="21.75" customHeight="1" x14ac:dyDescent="0.3">
      <c r="B2" s="12" t="s">
        <v>84</v>
      </c>
      <c r="C2" s="12"/>
      <c r="D2" s="12"/>
      <c r="E2" s="12"/>
    </row>
    <row r="4" spans="2:5" x14ac:dyDescent="0.3">
      <c r="B4" s="23" t="s">
        <v>85</v>
      </c>
      <c r="C4" s="49" t="s">
        <v>86</v>
      </c>
      <c r="D4" s="49" t="s">
        <v>87</v>
      </c>
      <c r="E4" s="23" t="s">
        <v>88</v>
      </c>
    </row>
    <row r="5" spans="2:5" x14ac:dyDescent="0.3">
      <c r="B5" s="44" t="s">
        <v>89</v>
      </c>
      <c r="C5" s="50">
        <v>22425.87</v>
      </c>
      <c r="D5" s="51">
        <f t="shared" ref="D5:D20" si="0">C5/$C$21</f>
        <v>0.20990941812277775</v>
      </c>
      <c r="E5" s="44" t="s">
        <v>90</v>
      </c>
    </row>
    <row r="6" spans="2:5" x14ac:dyDescent="0.3">
      <c r="B6" s="44" t="s">
        <v>91</v>
      </c>
      <c r="C6" s="50">
        <v>18527.38</v>
      </c>
      <c r="D6" s="51">
        <f t="shared" si="0"/>
        <v>0.17341898241359602</v>
      </c>
      <c r="E6" s="44" t="s">
        <v>92</v>
      </c>
    </row>
    <row r="7" spans="2:5" x14ac:dyDescent="0.3">
      <c r="B7" s="44" t="s">
        <v>93</v>
      </c>
      <c r="C7" s="50">
        <v>12441.93</v>
      </c>
      <c r="D7" s="51">
        <f t="shared" si="0"/>
        <v>0.11645828173552832</v>
      </c>
      <c r="E7" s="44" t="s">
        <v>94</v>
      </c>
    </row>
    <row r="8" spans="2:5" x14ac:dyDescent="0.3">
      <c r="B8" s="44" t="s">
        <v>95</v>
      </c>
      <c r="C8" s="50">
        <v>10498.51</v>
      </c>
      <c r="D8" s="51">
        <f t="shared" si="0"/>
        <v>9.8267586731581133E-2</v>
      </c>
      <c r="E8" s="44" t="s">
        <v>92</v>
      </c>
    </row>
    <row r="9" spans="2:5" x14ac:dyDescent="0.3">
      <c r="B9" s="44" t="s">
        <v>96</v>
      </c>
      <c r="C9" s="50">
        <v>10030.43</v>
      </c>
      <c r="D9" s="51">
        <f t="shared" si="0"/>
        <v>9.3886289576335435E-2</v>
      </c>
      <c r="E9" s="44" t="s">
        <v>92</v>
      </c>
    </row>
    <row r="10" spans="2:5" x14ac:dyDescent="0.3">
      <c r="B10" s="44" t="s">
        <v>97</v>
      </c>
      <c r="C10" s="50">
        <v>8104.53</v>
      </c>
      <c r="D10" s="51">
        <f t="shared" si="0"/>
        <v>7.5859584330890878E-2</v>
      </c>
      <c r="E10" s="44" t="s">
        <v>90</v>
      </c>
    </row>
    <row r="11" spans="2:5" x14ac:dyDescent="0.3">
      <c r="B11" s="44" t="s">
        <v>98</v>
      </c>
      <c r="C11" s="50">
        <v>4715.08</v>
      </c>
      <c r="D11" s="51">
        <f t="shared" si="0"/>
        <v>4.4133837358476924E-2</v>
      </c>
      <c r="E11" s="44" t="s">
        <v>92</v>
      </c>
    </row>
    <row r="12" spans="2:5" x14ac:dyDescent="0.3">
      <c r="B12" s="44" t="s">
        <v>99</v>
      </c>
      <c r="C12" s="50">
        <v>3525.22</v>
      </c>
      <c r="D12" s="51">
        <f t="shared" si="0"/>
        <v>3.2996573999348904E-2</v>
      </c>
      <c r="E12" s="44" t="s">
        <v>90</v>
      </c>
    </row>
    <row r="13" spans="2:5" x14ac:dyDescent="0.3">
      <c r="B13" s="44" t="s">
        <v>100</v>
      </c>
      <c r="C13" s="50">
        <v>3413.11</v>
      </c>
      <c r="D13" s="51">
        <f t="shared" si="0"/>
        <v>3.1947208027560757E-2</v>
      </c>
      <c r="E13" s="44" t="s">
        <v>94</v>
      </c>
    </row>
    <row r="14" spans="2:5" x14ac:dyDescent="0.3">
      <c r="B14" s="44" t="s">
        <v>101</v>
      </c>
      <c r="C14" s="50">
        <v>2972.46</v>
      </c>
      <c r="D14" s="51">
        <f t="shared" si="0"/>
        <v>2.782265967800723E-2</v>
      </c>
      <c r="E14" s="44" t="s">
        <v>90</v>
      </c>
    </row>
    <row r="15" spans="2:5" x14ac:dyDescent="0.3">
      <c r="B15" s="44" t="s">
        <v>102</v>
      </c>
      <c r="C15" s="50">
        <v>2692.13</v>
      </c>
      <c r="D15" s="51">
        <f t="shared" si="0"/>
        <v>2.5198729940505038E-2</v>
      </c>
      <c r="E15" s="44" t="s">
        <v>92</v>
      </c>
    </row>
    <row r="16" spans="2:5" x14ac:dyDescent="0.3">
      <c r="B16" s="44" t="s">
        <v>103</v>
      </c>
      <c r="C16" s="50">
        <v>2561.34</v>
      </c>
      <c r="D16" s="51">
        <f t="shared" si="0"/>
        <v>2.3974516440815701E-2</v>
      </c>
      <c r="E16" s="44" t="s">
        <v>92</v>
      </c>
    </row>
    <row r="17" spans="2:5" x14ac:dyDescent="0.3">
      <c r="B17" s="44" t="s">
        <v>104</v>
      </c>
      <c r="C17" s="50">
        <v>1638.02</v>
      </c>
      <c r="D17" s="51">
        <f t="shared" si="0"/>
        <v>1.5332106405391292E-2</v>
      </c>
      <c r="E17" s="44" t="s">
        <v>92</v>
      </c>
    </row>
    <row r="18" spans="2:5" x14ac:dyDescent="0.3">
      <c r="B18" s="44" t="s">
        <v>105</v>
      </c>
      <c r="C18" s="50">
        <v>1539.19</v>
      </c>
      <c r="D18" s="51">
        <f t="shared" si="0"/>
        <v>1.4407043172924764E-2</v>
      </c>
      <c r="E18" s="44" t="s">
        <v>94</v>
      </c>
    </row>
    <row r="19" spans="2:5" x14ac:dyDescent="0.3">
      <c r="B19" s="44" t="s">
        <v>106</v>
      </c>
      <c r="C19" s="50">
        <v>1462.24</v>
      </c>
      <c r="D19" s="51">
        <f t="shared" si="0"/>
        <v>1.3686779935665843E-2</v>
      </c>
      <c r="E19" s="44" t="s">
        <v>94</v>
      </c>
    </row>
    <row r="20" spans="2:5" x14ac:dyDescent="0.3">
      <c r="B20" s="44" t="s">
        <v>107</v>
      </c>
      <c r="C20" s="50">
        <v>288.5</v>
      </c>
      <c r="D20" s="51">
        <f t="shared" si="0"/>
        <v>2.7004021305938801E-3</v>
      </c>
      <c r="E20" s="44" t="s">
        <v>108</v>
      </c>
    </row>
    <row r="21" spans="2:5" x14ac:dyDescent="0.3">
      <c r="B21" s="52" t="s">
        <v>109</v>
      </c>
      <c r="C21" s="53">
        <f>SUM(C5:C20)</f>
        <v>106835.94000000002</v>
      </c>
      <c r="D21" s="54">
        <f>C21/C21</f>
        <v>1</v>
      </c>
      <c r="E21" s="55"/>
    </row>
    <row r="23" spans="2:5" ht="15.6" x14ac:dyDescent="0.3">
      <c r="B23" s="21" t="s">
        <v>110</v>
      </c>
    </row>
    <row r="24" spans="2:5" x14ac:dyDescent="0.3">
      <c r="B24" s="23" t="s">
        <v>111</v>
      </c>
      <c r="C24" s="49" t="s">
        <v>86</v>
      </c>
      <c r="D24" s="49" t="s">
        <v>87</v>
      </c>
    </row>
    <row r="25" spans="2:5" x14ac:dyDescent="0.3">
      <c r="B25" s="44" t="s">
        <v>92</v>
      </c>
      <c r="C25" s="50">
        <v>50750.85</v>
      </c>
      <c r="D25" s="51">
        <f>C25/$C$21</f>
        <v>0.47503536731178658</v>
      </c>
    </row>
    <row r="26" spans="2:5" x14ac:dyDescent="0.3">
      <c r="B26" s="44" t="s">
        <v>90</v>
      </c>
      <c r="C26" s="50">
        <v>37201.919999999998</v>
      </c>
      <c r="D26" s="51">
        <f>C26/$C$21</f>
        <v>0.34821540391744571</v>
      </c>
    </row>
    <row r="27" spans="2:5" x14ac:dyDescent="0.3">
      <c r="B27" s="44" t="s">
        <v>94</v>
      </c>
      <c r="C27" s="50">
        <v>18883.169999999998</v>
      </c>
      <c r="D27" s="51">
        <f>C27/$C$21</f>
        <v>0.17674922877076754</v>
      </c>
    </row>
    <row r="29" spans="2:5" ht="15.6" x14ac:dyDescent="0.3">
      <c r="B29" s="21" t="s">
        <v>112</v>
      </c>
    </row>
    <row r="30" spans="2:5" x14ac:dyDescent="0.3">
      <c r="B30" s="44" t="s">
        <v>113</v>
      </c>
      <c r="C30" s="56">
        <v>22</v>
      </c>
    </row>
    <row r="31" spans="2:5" x14ac:dyDescent="0.3">
      <c r="B31" s="44" t="s">
        <v>114</v>
      </c>
      <c r="C31" s="57">
        <f>C5/C21</f>
        <v>0.20990941812277775</v>
      </c>
    </row>
    <row r="32" spans="2:5" x14ac:dyDescent="0.3">
      <c r="B32" s="44" t="s">
        <v>115</v>
      </c>
      <c r="C32" s="57">
        <f>SUM(C5:C7)/C21</f>
        <v>0.49978668227190204</v>
      </c>
    </row>
    <row r="33" spans="2:5" x14ac:dyDescent="0.3">
      <c r="B33" s="44" t="s">
        <v>116</v>
      </c>
      <c r="C33" s="57">
        <f>SUM(C5:C9)/C21</f>
        <v>0.69194055857981862</v>
      </c>
    </row>
    <row r="35" spans="2:5" ht="15" customHeight="1" x14ac:dyDescent="0.3">
      <c r="B35" s="9" t="s">
        <v>117</v>
      </c>
      <c r="C35" s="9"/>
      <c r="D35" s="9"/>
      <c r="E35" s="9"/>
    </row>
    <row r="36" spans="2:5" x14ac:dyDescent="0.3">
      <c r="B36" s="9"/>
      <c r="C36" s="9"/>
      <c r="D36" s="9"/>
      <c r="E36" s="9"/>
    </row>
    <row r="37" spans="2:5" x14ac:dyDescent="0.3">
      <c r="B37" s="9"/>
      <c r="C37" s="9"/>
      <c r="D37" s="9"/>
      <c r="E37" s="9"/>
    </row>
  </sheetData>
  <mergeCells count="2">
    <mergeCell ref="B2:E2"/>
    <mergeCell ref="B35:E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Q1"/>
    </sheetView>
  </sheetViews>
  <sheetFormatPr defaultColWidth="8.6640625" defaultRowHeight="14.4" x14ac:dyDescent="0.3"/>
  <cols>
    <col min="1" max="1" width="26" customWidth="1"/>
    <col min="2" max="2" width="9" customWidth="1"/>
    <col min="3" max="15" width="8.44140625" customWidth="1"/>
    <col min="16" max="16" width="10" customWidth="1"/>
    <col min="17" max="17" width="11" customWidth="1"/>
    <col min="18" max="18" width="14" customWidth="1"/>
    <col min="19" max="19" width="13" customWidth="1"/>
    <col min="20" max="20" width="9" customWidth="1"/>
  </cols>
  <sheetData>
    <row r="1" spans="1:20" ht="19.5" customHeight="1" x14ac:dyDescent="0.3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20" x14ac:dyDescent="0.3">
      <c r="A2" s="11" t="s">
        <v>119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20" x14ac:dyDescent="0.3">
      <c r="A3" s="23" t="s">
        <v>85</v>
      </c>
      <c r="B3" s="49" t="s">
        <v>120</v>
      </c>
      <c r="C3" s="24" t="s">
        <v>29</v>
      </c>
      <c r="D3" s="24" t="s">
        <v>30</v>
      </c>
      <c r="E3" s="24" t="s">
        <v>31</v>
      </c>
      <c r="F3" s="24" t="s">
        <v>32</v>
      </c>
      <c r="G3" s="24" t="s">
        <v>33</v>
      </c>
      <c r="H3" s="24" t="s">
        <v>34</v>
      </c>
      <c r="I3" s="24" t="s">
        <v>35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121</v>
      </c>
      <c r="Q3" s="24" t="s">
        <v>122</v>
      </c>
      <c r="R3" s="23" t="s">
        <v>111</v>
      </c>
      <c r="S3" s="7" t="s">
        <v>123</v>
      </c>
      <c r="T3" s="7"/>
    </row>
    <row r="4" spans="1:20" x14ac:dyDescent="0.3">
      <c r="S4" s="58" t="s">
        <v>124</v>
      </c>
      <c r="T4" s="59">
        <v>6.61</v>
      </c>
    </row>
    <row r="5" spans="1:20" x14ac:dyDescent="0.3">
      <c r="A5" s="44" t="s">
        <v>91</v>
      </c>
      <c r="B5" s="45">
        <f>$T$4</f>
        <v>6.61</v>
      </c>
      <c r="C5" s="60">
        <v>186</v>
      </c>
      <c r="D5" s="60">
        <v>75</v>
      </c>
      <c r="E5" s="60">
        <v>65</v>
      </c>
      <c r="F5" s="60">
        <v>81</v>
      </c>
      <c r="G5" s="60">
        <v>49</v>
      </c>
      <c r="H5" s="60">
        <v>156</v>
      </c>
      <c r="I5" s="60">
        <v>151</v>
      </c>
      <c r="J5" s="60">
        <v>43</v>
      </c>
      <c r="K5" s="60">
        <v>60</v>
      </c>
      <c r="L5" s="60">
        <v>49</v>
      </c>
      <c r="M5" s="60">
        <v>62</v>
      </c>
      <c r="N5" s="60">
        <v>51</v>
      </c>
      <c r="O5" s="60">
        <v>53</v>
      </c>
      <c r="P5" s="61">
        <f t="shared" ref="P5:P26" si="0">SUM(D5:O5)</f>
        <v>895</v>
      </c>
      <c r="Q5" s="62">
        <f t="shared" ref="Q5:Q26" si="1">P5*B5</f>
        <v>5915.9500000000007</v>
      </c>
      <c r="R5" s="58" t="s">
        <v>124</v>
      </c>
      <c r="S5" s="58" t="s">
        <v>125</v>
      </c>
      <c r="T5" s="59">
        <v>2.48</v>
      </c>
    </row>
    <row r="6" spans="1:20" x14ac:dyDescent="0.3">
      <c r="A6" s="44" t="s">
        <v>126</v>
      </c>
      <c r="B6" s="45">
        <f>$T$5</f>
        <v>2.48</v>
      </c>
      <c r="C6" s="60">
        <v>80</v>
      </c>
      <c r="D6" s="60">
        <v>138</v>
      </c>
      <c r="E6" s="60">
        <v>113</v>
      </c>
      <c r="F6" s="60">
        <v>214</v>
      </c>
      <c r="G6" s="60">
        <v>165</v>
      </c>
      <c r="H6" s="60">
        <v>375</v>
      </c>
      <c r="I6" s="60">
        <v>517</v>
      </c>
      <c r="J6" s="60">
        <v>151</v>
      </c>
      <c r="K6" s="60">
        <v>47</v>
      </c>
      <c r="L6" s="60">
        <v>126</v>
      </c>
      <c r="M6" s="60">
        <v>35</v>
      </c>
      <c r="N6" s="60">
        <v>17</v>
      </c>
      <c r="O6" s="60">
        <v>53</v>
      </c>
      <c r="P6" s="61">
        <f t="shared" si="0"/>
        <v>1951</v>
      </c>
      <c r="Q6" s="62">
        <f t="shared" si="1"/>
        <v>4838.4799999999996</v>
      </c>
      <c r="R6" s="58" t="s">
        <v>125</v>
      </c>
      <c r="S6" s="58" t="s">
        <v>127</v>
      </c>
      <c r="T6" s="59">
        <v>0.23</v>
      </c>
    </row>
    <row r="7" spans="1:20" x14ac:dyDescent="0.3">
      <c r="A7" s="44" t="s">
        <v>96</v>
      </c>
      <c r="B7" s="45">
        <f>$T$4</f>
        <v>6.61</v>
      </c>
      <c r="C7" s="60">
        <v>67</v>
      </c>
      <c r="D7" s="60">
        <v>0</v>
      </c>
      <c r="E7" s="60">
        <v>0</v>
      </c>
      <c r="F7" s="60">
        <v>50</v>
      </c>
      <c r="G7" s="60">
        <v>23</v>
      </c>
      <c r="H7" s="60">
        <v>55</v>
      </c>
      <c r="I7" s="60">
        <v>34</v>
      </c>
      <c r="J7" s="60">
        <v>10</v>
      </c>
      <c r="K7" s="60">
        <v>33</v>
      </c>
      <c r="L7" s="60">
        <v>75</v>
      </c>
      <c r="M7" s="60">
        <v>125</v>
      </c>
      <c r="N7" s="60">
        <v>98</v>
      </c>
      <c r="O7" s="60">
        <v>22</v>
      </c>
      <c r="P7" s="61">
        <f t="shared" si="0"/>
        <v>525</v>
      </c>
      <c r="Q7" s="62">
        <f t="shared" si="1"/>
        <v>3470.25</v>
      </c>
      <c r="R7" s="58" t="s">
        <v>124</v>
      </c>
      <c r="S7" s="58" t="s">
        <v>93</v>
      </c>
      <c r="T7" s="59">
        <v>3.49</v>
      </c>
    </row>
    <row r="8" spans="1:20" x14ac:dyDescent="0.3">
      <c r="A8" s="44" t="s">
        <v>95</v>
      </c>
      <c r="B8" s="45">
        <f>$T$4</f>
        <v>6.61</v>
      </c>
      <c r="C8" s="60">
        <v>51</v>
      </c>
      <c r="D8" s="60">
        <v>77</v>
      </c>
      <c r="E8" s="60">
        <v>0</v>
      </c>
      <c r="F8" s="60">
        <v>20</v>
      </c>
      <c r="G8" s="60">
        <v>25</v>
      </c>
      <c r="H8" s="60">
        <v>56</v>
      </c>
      <c r="I8" s="60">
        <v>77</v>
      </c>
      <c r="J8" s="60">
        <v>25</v>
      </c>
      <c r="K8" s="60">
        <v>30</v>
      </c>
      <c r="L8" s="60">
        <v>30</v>
      </c>
      <c r="M8" s="60">
        <v>49</v>
      </c>
      <c r="N8" s="60">
        <v>71</v>
      </c>
      <c r="O8" s="60">
        <v>57</v>
      </c>
      <c r="P8" s="61">
        <f t="shared" si="0"/>
        <v>517</v>
      </c>
      <c r="Q8" s="62">
        <f t="shared" si="1"/>
        <v>3417.3700000000003</v>
      </c>
      <c r="R8" s="58" t="s">
        <v>124</v>
      </c>
      <c r="S8" s="58" t="s">
        <v>106</v>
      </c>
      <c r="T8" s="59">
        <v>3.3</v>
      </c>
    </row>
    <row r="9" spans="1:20" x14ac:dyDescent="0.3">
      <c r="A9" s="44" t="s">
        <v>93</v>
      </c>
      <c r="B9" s="45">
        <f>$T$7</f>
        <v>3.49</v>
      </c>
      <c r="C9" s="60">
        <v>0</v>
      </c>
      <c r="D9" s="60">
        <v>0</v>
      </c>
      <c r="E9" s="60">
        <v>39</v>
      </c>
      <c r="F9" s="60">
        <v>129</v>
      </c>
      <c r="G9" s="60">
        <v>88</v>
      </c>
      <c r="H9" s="60">
        <v>8</v>
      </c>
      <c r="I9" s="60">
        <v>181</v>
      </c>
      <c r="J9" s="60">
        <v>26</v>
      </c>
      <c r="K9" s="60">
        <v>14</v>
      </c>
      <c r="L9" s="60">
        <v>77</v>
      </c>
      <c r="M9" s="60">
        <v>43</v>
      </c>
      <c r="N9" s="60">
        <v>14</v>
      </c>
      <c r="O9" s="60">
        <v>34</v>
      </c>
      <c r="P9" s="61">
        <f t="shared" si="0"/>
        <v>653</v>
      </c>
      <c r="Q9" s="62">
        <f t="shared" si="1"/>
        <v>2278.9700000000003</v>
      </c>
      <c r="R9" s="58" t="s">
        <v>93</v>
      </c>
      <c r="S9" s="58" t="s">
        <v>105</v>
      </c>
      <c r="T9" s="59">
        <v>1.88</v>
      </c>
    </row>
    <row r="10" spans="1:20" x14ac:dyDescent="0.3">
      <c r="A10" s="44" t="s">
        <v>128</v>
      </c>
      <c r="B10" s="45">
        <f>$T$5</f>
        <v>2.48</v>
      </c>
      <c r="C10" s="60">
        <v>30</v>
      </c>
      <c r="D10" s="60">
        <v>63</v>
      </c>
      <c r="E10" s="60">
        <v>42</v>
      </c>
      <c r="F10" s="60">
        <v>62</v>
      </c>
      <c r="G10" s="60">
        <v>98</v>
      </c>
      <c r="H10" s="60">
        <v>165</v>
      </c>
      <c r="I10" s="60">
        <v>46</v>
      </c>
      <c r="J10" s="60">
        <v>73</v>
      </c>
      <c r="K10" s="60">
        <v>82</v>
      </c>
      <c r="L10" s="60">
        <v>47</v>
      </c>
      <c r="M10" s="60">
        <v>39</v>
      </c>
      <c r="N10" s="60">
        <v>16</v>
      </c>
      <c r="O10" s="60">
        <v>59</v>
      </c>
      <c r="P10" s="61">
        <f t="shared" si="0"/>
        <v>792</v>
      </c>
      <c r="Q10" s="62">
        <f t="shared" si="1"/>
        <v>1964.16</v>
      </c>
      <c r="R10" s="58" t="s">
        <v>125</v>
      </c>
      <c r="S10" s="58" t="s">
        <v>100</v>
      </c>
      <c r="T10" s="59">
        <v>3.2</v>
      </c>
    </row>
    <row r="11" spans="1:20" x14ac:dyDescent="0.3">
      <c r="A11" s="44" t="s">
        <v>98</v>
      </c>
      <c r="B11" s="45">
        <f>$T$4</f>
        <v>6.61</v>
      </c>
      <c r="C11" s="60">
        <v>1</v>
      </c>
      <c r="D11" s="60">
        <v>95</v>
      </c>
      <c r="E11" s="60">
        <v>1</v>
      </c>
      <c r="F11" s="60">
        <v>3</v>
      </c>
      <c r="G11" s="60">
        <v>5</v>
      </c>
      <c r="H11" s="60">
        <v>19</v>
      </c>
      <c r="I11" s="60">
        <v>51</v>
      </c>
      <c r="J11" s="60">
        <v>11</v>
      </c>
      <c r="K11" s="60">
        <v>33</v>
      </c>
      <c r="L11" s="60">
        <v>36</v>
      </c>
      <c r="M11" s="60">
        <v>35</v>
      </c>
      <c r="N11" s="60">
        <v>0</v>
      </c>
      <c r="O11" s="60">
        <v>0</v>
      </c>
      <c r="P11" s="61">
        <f t="shared" si="0"/>
        <v>289</v>
      </c>
      <c r="Q11" s="62">
        <f t="shared" si="1"/>
        <v>1910.2900000000002</v>
      </c>
      <c r="R11" s="58" t="s">
        <v>124</v>
      </c>
    </row>
    <row r="12" spans="1:20" ht="15" customHeight="1" x14ac:dyDescent="0.3">
      <c r="A12" s="44" t="s">
        <v>100</v>
      </c>
      <c r="B12" s="45">
        <f>$T$10</f>
        <v>3.2</v>
      </c>
      <c r="C12" s="60">
        <v>0</v>
      </c>
      <c r="D12" s="60">
        <v>0</v>
      </c>
      <c r="E12" s="60">
        <v>84</v>
      </c>
      <c r="F12" s="60">
        <v>32</v>
      </c>
      <c r="G12" s="60">
        <v>8</v>
      </c>
      <c r="H12" s="60">
        <v>32</v>
      </c>
      <c r="I12" s="60">
        <v>54</v>
      </c>
      <c r="J12" s="60">
        <v>113</v>
      </c>
      <c r="K12" s="60">
        <v>16</v>
      </c>
      <c r="L12" s="60">
        <v>0</v>
      </c>
      <c r="M12" s="60">
        <v>0</v>
      </c>
      <c r="N12" s="60">
        <v>0</v>
      </c>
      <c r="O12" s="60">
        <v>0</v>
      </c>
      <c r="P12" s="61">
        <f t="shared" si="0"/>
        <v>339</v>
      </c>
      <c r="Q12" s="62">
        <f t="shared" si="1"/>
        <v>1084.8</v>
      </c>
      <c r="R12" s="58" t="s">
        <v>100</v>
      </c>
      <c r="S12" s="6" t="s">
        <v>129</v>
      </c>
      <c r="T12" s="6"/>
    </row>
    <row r="13" spans="1:20" x14ac:dyDescent="0.3">
      <c r="A13" s="44" t="s">
        <v>99</v>
      </c>
      <c r="B13" s="45">
        <f>$T$5</f>
        <v>2.48</v>
      </c>
      <c r="C13" s="60">
        <v>0</v>
      </c>
      <c r="D13" s="60">
        <v>4</v>
      </c>
      <c r="E13" s="60">
        <v>13</v>
      </c>
      <c r="F13" s="60">
        <v>14</v>
      </c>
      <c r="G13" s="60">
        <v>21</v>
      </c>
      <c r="H13" s="60">
        <v>33</v>
      </c>
      <c r="I13" s="60">
        <v>122</v>
      </c>
      <c r="J13" s="60">
        <v>29</v>
      </c>
      <c r="K13" s="60">
        <v>15</v>
      </c>
      <c r="L13" s="60">
        <v>14</v>
      </c>
      <c r="M13" s="60">
        <v>5</v>
      </c>
      <c r="N13" s="60">
        <v>1</v>
      </c>
      <c r="O13" s="60">
        <v>4</v>
      </c>
      <c r="P13" s="61">
        <f t="shared" si="0"/>
        <v>275</v>
      </c>
      <c r="Q13" s="62">
        <f t="shared" si="1"/>
        <v>682</v>
      </c>
      <c r="R13" s="58" t="s">
        <v>125</v>
      </c>
      <c r="S13" s="6"/>
      <c r="T13" s="6"/>
    </row>
    <row r="14" spans="1:20" x14ac:dyDescent="0.3">
      <c r="A14" s="44" t="s">
        <v>101</v>
      </c>
      <c r="B14" s="45">
        <f>$T$5</f>
        <v>2.48</v>
      </c>
      <c r="C14" s="60">
        <v>0</v>
      </c>
      <c r="D14" s="60">
        <v>0</v>
      </c>
      <c r="E14" s="60">
        <v>0</v>
      </c>
      <c r="F14" s="60">
        <v>0</v>
      </c>
      <c r="G14" s="60">
        <v>0</v>
      </c>
      <c r="H14" s="60">
        <v>48</v>
      </c>
      <c r="I14" s="60">
        <v>100</v>
      </c>
      <c r="J14" s="60">
        <v>0</v>
      </c>
      <c r="K14" s="60">
        <v>6</v>
      </c>
      <c r="L14" s="60">
        <v>29</v>
      </c>
      <c r="M14" s="60">
        <v>5</v>
      </c>
      <c r="N14" s="60">
        <v>17</v>
      </c>
      <c r="O14" s="60">
        <v>31</v>
      </c>
      <c r="P14" s="61">
        <f t="shared" si="0"/>
        <v>236</v>
      </c>
      <c r="Q14" s="62">
        <f t="shared" si="1"/>
        <v>585.28</v>
      </c>
      <c r="R14" s="58" t="s">
        <v>125</v>
      </c>
      <c r="S14" s="6"/>
      <c r="T14" s="6"/>
    </row>
    <row r="15" spans="1:20" x14ac:dyDescent="0.3">
      <c r="A15" s="44" t="s">
        <v>105</v>
      </c>
      <c r="B15" s="45">
        <f>$T$9</f>
        <v>1.88</v>
      </c>
      <c r="C15" s="60">
        <v>0</v>
      </c>
      <c r="D15" s="60">
        <v>31</v>
      </c>
      <c r="E15" s="60">
        <v>31</v>
      </c>
      <c r="F15" s="60">
        <v>36</v>
      </c>
      <c r="G15" s="60">
        <v>58</v>
      </c>
      <c r="H15" s="60">
        <v>39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1">
        <f t="shared" si="0"/>
        <v>195</v>
      </c>
      <c r="Q15" s="62">
        <f t="shared" si="1"/>
        <v>366.59999999999997</v>
      </c>
      <c r="R15" s="58" t="s">
        <v>105</v>
      </c>
      <c r="S15" s="6"/>
      <c r="T15" s="6"/>
    </row>
    <row r="16" spans="1:20" x14ac:dyDescent="0.3">
      <c r="A16" s="44" t="s">
        <v>106</v>
      </c>
      <c r="B16" s="45">
        <f>$T$8</f>
        <v>3.3</v>
      </c>
      <c r="C16" s="60">
        <v>0</v>
      </c>
      <c r="D16" s="60">
        <v>0</v>
      </c>
      <c r="E16" s="60">
        <v>3</v>
      </c>
      <c r="F16" s="60">
        <v>25</v>
      </c>
      <c r="G16" s="60">
        <v>18</v>
      </c>
      <c r="H16" s="60">
        <v>45</v>
      </c>
      <c r="I16" s="60">
        <v>5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1">
        <f t="shared" si="0"/>
        <v>96</v>
      </c>
      <c r="Q16" s="62">
        <f t="shared" si="1"/>
        <v>316.79999999999995</v>
      </c>
      <c r="R16" s="58" t="s">
        <v>106</v>
      </c>
    </row>
    <row r="17" spans="1:18" x14ac:dyDescent="0.3">
      <c r="A17" s="44" t="s">
        <v>102</v>
      </c>
      <c r="B17" s="45">
        <f>$T$6</f>
        <v>0.23</v>
      </c>
      <c r="C17" s="60">
        <v>44</v>
      </c>
      <c r="D17" s="60">
        <v>53</v>
      </c>
      <c r="E17" s="60">
        <v>1</v>
      </c>
      <c r="F17" s="60">
        <v>48</v>
      </c>
      <c r="G17" s="60">
        <v>118</v>
      </c>
      <c r="H17" s="60">
        <v>70</v>
      </c>
      <c r="I17" s="60">
        <v>70</v>
      </c>
      <c r="J17" s="60">
        <v>57</v>
      </c>
      <c r="K17" s="60">
        <v>56</v>
      </c>
      <c r="L17" s="60">
        <v>23</v>
      </c>
      <c r="M17" s="60">
        <v>7</v>
      </c>
      <c r="N17" s="60">
        <v>91</v>
      </c>
      <c r="O17" s="60">
        <v>85</v>
      </c>
      <c r="P17" s="61">
        <f t="shared" si="0"/>
        <v>679</v>
      </c>
      <c r="Q17" s="62">
        <f t="shared" si="1"/>
        <v>156.17000000000002</v>
      </c>
      <c r="R17" s="58" t="s">
        <v>127</v>
      </c>
    </row>
    <row r="18" spans="1:18" x14ac:dyDescent="0.3">
      <c r="A18" s="44" t="s">
        <v>103</v>
      </c>
      <c r="B18" s="45">
        <f>$T$6</f>
        <v>0.23</v>
      </c>
      <c r="C18" s="60">
        <v>15</v>
      </c>
      <c r="D18" s="60">
        <v>74</v>
      </c>
      <c r="E18" s="60">
        <v>102</v>
      </c>
      <c r="F18" s="60">
        <v>14</v>
      </c>
      <c r="G18" s="60">
        <v>27</v>
      </c>
      <c r="H18" s="60">
        <v>8</v>
      </c>
      <c r="I18" s="60">
        <v>15</v>
      </c>
      <c r="J18" s="60">
        <v>24</v>
      </c>
      <c r="K18" s="60">
        <v>26</v>
      </c>
      <c r="L18" s="60">
        <v>51</v>
      </c>
      <c r="M18" s="60">
        <v>34</v>
      </c>
      <c r="N18" s="60">
        <v>76</v>
      </c>
      <c r="O18" s="60">
        <v>184</v>
      </c>
      <c r="P18" s="61">
        <f t="shared" si="0"/>
        <v>635</v>
      </c>
      <c r="Q18" s="62">
        <f t="shared" si="1"/>
        <v>146.05000000000001</v>
      </c>
      <c r="R18" s="58" t="s">
        <v>127</v>
      </c>
    </row>
    <row r="19" spans="1:18" x14ac:dyDescent="0.3">
      <c r="A19" s="44" t="s">
        <v>104</v>
      </c>
      <c r="B19" s="45">
        <f>$T$6</f>
        <v>0.23</v>
      </c>
      <c r="C19" s="60">
        <v>3</v>
      </c>
      <c r="D19" s="60">
        <v>60</v>
      </c>
      <c r="E19" s="60">
        <v>103</v>
      </c>
      <c r="F19" s="60">
        <v>48</v>
      </c>
      <c r="G19" s="60">
        <v>31</v>
      </c>
      <c r="H19" s="60">
        <v>28</v>
      </c>
      <c r="I19" s="60">
        <v>56</v>
      </c>
      <c r="J19" s="60">
        <v>18</v>
      </c>
      <c r="K19" s="60">
        <v>18</v>
      </c>
      <c r="L19" s="60">
        <v>14</v>
      </c>
      <c r="M19" s="60">
        <v>1</v>
      </c>
      <c r="N19" s="60">
        <v>9</v>
      </c>
      <c r="O19" s="60">
        <v>8</v>
      </c>
      <c r="P19" s="61">
        <f t="shared" si="0"/>
        <v>394</v>
      </c>
      <c r="Q19" s="62">
        <f t="shared" si="1"/>
        <v>90.62</v>
      </c>
      <c r="R19" s="58" t="s">
        <v>127</v>
      </c>
    </row>
    <row r="20" spans="1:18" x14ac:dyDescent="0.3">
      <c r="A20" s="44" t="s">
        <v>130</v>
      </c>
      <c r="B20" s="45">
        <f>$T$4</f>
        <v>6.61</v>
      </c>
      <c r="C20" s="60">
        <v>0</v>
      </c>
      <c r="D20" s="60">
        <v>0</v>
      </c>
      <c r="E20" s="60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1</v>
      </c>
      <c r="O20" s="60">
        <v>3</v>
      </c>
      <c r="P20" s="61">
        <f t="shared" si="0"/>
        <v>4</v>
      </c>
      <c r="Q20" s="62">
        <f t="shared" si="1"/>
        <v>26.44</v>
      </c>
      <c r="R20" s="58" t="s">
        <v>124</v>
      </c>
    </row>
    <row r="21" spans="1:18" x14ac:dyDescent="0.3">
      <c r="A21" s="44" t="s">
        <v>131</v>
      </c>
      <c r="B21" s="45">
        <f>$T$5</f>
        <v>2.48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5</v>
      </c>
      <c r="P21" s="61">
        <f t="shared" si="0"/>
        <v>5</v>
      </c>
      <c r="Q21" s="62">
        <f t="shared" si="1"/>
        <v>12.4</v>
      </c>
      <c r="R21" s="58" t="s">
        <v>125</v>
      </c>
    </row>
    <row r="22" spans="1:18" x14ac:dyDescent="0.3">
      <c r="A22" s="44" t="s">
        <v>132</v>
      </c>
      <c r="B22" s="45">
        <f>$T$5</f>
        <v>2.48</v>
      </c>
      <c r="C22" s="60">
        <v>0</v>
      </c>
      <c r="D22" s="60">
        <v>0</v>
      </c>
      <c r="E22" s="60">
        <v>0</v>
      </c>
      <c r="F22" s="60">
        <v>0</v>
      </c>
      <c r="G22" s="60">
        <v>6</v>
      </c>
      <c r="H22" s="60">
        <v>-1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1">
        <f t="shared" si="0"/>
        <v>5</v>
      </c>
      <c r="Q22" s="62">
        <f t="shared" si="1"/>
        <v>12.4</v>
      </c>
      <c r="R22" s="58" t="s">
        <v>125</v>
      </c>
    </row>
    <row r="23" spans="1:18" x14ac:dyDescent="0.3">
      <c r="A23" s="44" t="s">
        <v>133</v>
      </c>
      <c r="B23" s="45">
        <f>$T$5</f>
        <v>2.48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2</v>
      </c>
      <c r="O23" s="60">
        <v>1</v>
      </c>
      <c r="P23" s="61">
        <f t="shared" si="0"/>
        <v>3</v>
      </c>
      <c r="Q23" s="62">
        <f t="shared" si="1"/>
        <v>7.4399999999999995</v>
      </c>
      <c r="R23" s="58" t="s">
        <v>125</v>
      </c>
    </row>
    <row r="24" spans="1:18" x14ac:dyDescent="0.3">
      <c r="A24" s="44" t="s">
        <v>134</v>
      </c>
      <c r="B24" s="45">
        <f>$T$5</f>
        <v>2.48</v>
      </c>
      <c r="C24" s="60">
        <v>0</v>
      </c>
      <c r="D24" s="60">
        <v>2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1">
        <f t="shared" si="0"/>
        <v>2</v>
      </c>
      <c r="Q24" s="62">
        <f t="shared" si="1"/>
        <v>4.96</v>
      </c>
      <c r="R24" s="58" t="s">
        <v>125</v>
      </c>
    </row>
    <row r="25" spans="1:18" x14ac:dyDescent="0.3">
      <c r="A25" s="44" t="s">
        <v>135</v>
      </c>
      <c r="B25" s="45">
        <f>$T$6</f>
        <v>0.23</v>
      </c>
      <c r="C25" s="60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7</v>
      </c>
      <c r="P25" s="61">
        <f t="shared" si="0"/>
        <v>7</v>
      </c>
      <c r="Q25" s="62">
        <f t="shared" si="1"/>
        <v>1.61</v>
      </c>
      <c r="R25" s="58" t="s">
        <v>127</v>
      </c>
    </row>
    <row r="26" spans="1:18" x14ac:dyDescent="0.3">
      <c r="A26" s="44" t="s">
        <v>136</v>
      </c>
      <c r="B26" s="45">
        <f>$T$6</f>
        <v>0.23</v>
      </c>
      <c r="C26" s="60">
        <v>0</v>
      </c>
      <c r="D26" s="60">
        <v>0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6</v>
      </c>
      <c r="P26" s="61">
        <f t="shared" si="0"/>
        <v>6</v>
      </c>
      <c r="Q26" s="62">
        <f t="shared" si="1"/>
        <v>1.3800000000000001</v>
      </c>
      <c r="R26" s="58" t="s">
        <v>127</v>
      </c>
    </row>
    <row r="27" spans="1:18" x14ac:dyDescent="0.3">
      <c r="A27" s="52" t="s">
        <v>137</v>
      </c>
      <c r="B27" s="63">
        <f>IFERROR(Q27/P27,0)</f>
        <v>3.209504880630365</v>
      </c>
      <c r="C27" s="53">
        <f t="shared" ref="C27:O27" si="2">SUMPRODUCT($B$5:$B$26,C5:C26)</f>
        <v>2303.11</v>
      </c>
      <c r="D27" s="53">
        <f t="shared" si="2"/>
        <v>2247.3200000000006</v>
      </c>
      <c r="E27" s="53">
        <f t="shared" si="2"/>
        <v>1373.3700000000003</v>
      </c>
      <c r="F27" s="53">
        <f t="shared" si="2"/>
        <v>2465.2299999999996</v>
      </c>
      <c r="G27" s="53">
        <f t="shared" si="2"/>
        <v>1935.06</v>
      </c>
      <c r="H27" s="53">
        <f t="shared" si="2"/>
        <v>3804.5800000000004</v>
      </c>
      <c r="I27" s="53">
        <f t="shared" si="2"/>
        <v>4869.1500000000015</v>
      </c>
      <c r="J27" s="53">
        <f t="shared" si="2"/>
        <v>1690.8400000000001</v>
      </c>
      <c r="K27" s="53">
        <f t="shared" si="2"/>
        <v>1526.2200000000007</v>
      </c>
      <c r="L27" s="53">
        <f t="shared" si="2"/>
        <v>2080.5499999999997</v>
      </c>
      <c r="M27" s="53">
        <f t="shared" si="2"/>
        <v>2159.3600000000006</v>
      </c>
      <c r="N27" s="53">
        <f t="shared" si="2"/>
        <v>1681.5900000000001</v>
      </c>
      <c r="O27" s="53">
        <f t="shared" si="2"/>
        <v>1457.15</v>
      </c>
      <c r="P27" s="64">
        <f>SUM(P5:P26)</f>
        <v>8503</v>
      </c>
      <c r="Q27" s="53">
        <f>SUM(Q5:Q26)</f>
        <v>27290.419999999995</v>
      </c>
    </row>
    <row r="29" spans="1:18" x14ac:dyDescent="0.3">
      <c r="A29" s="65" t="s">
        <v>138</v>
      </c>
    </row>
    <row r="30" spans="1:18" x14ac:dyDescent="0.3">
      <c r="A30" s="44" t="s">
        <v>139</v>
      </c>
      <c r="B30" s="66">
        <f>IFERROR(Q27/P27,0)</f>
        <v>3.209504880630365</v>
      </c>
    </row>
    <row r="31" spans="1:18" x14ac:dyDescent="0.3">
      <c r="A31" s="44" t="s">
        <v>140</v>
      </c>
      <c r="B31" s="67">
        <v>3.35</v>
      </c>
    </row>
    <row r="32" spans="1:18" x14ac:dyDescent="0.3">
      <c r="A32" s="44" t="s">
        <v>141</v>
      </c>
      <c r="B32" s="67">
        <v>6.5</v>
      </c>
    </row>
    <row r="34" spans="1:8" ht="15" customHeight="1" x14ac:dyDescent="0.3">
      <c r="A34" s="5" t="s">
        <v>142</v>
      </c>
      <c r="B34" s="5"/>
      <c r="C34" s="5"/>
      <c r="D34" s="5"/>
      <c r="E34" s="5"/>
      <c r="F34" s="5"/>
      <c r="G34" s="5"/>
      <c r="H34" s="5"/>
    </row>
    <row r="35" spans="1:8" x14ac:dyDescent="0.3">
      <c r="A35" s="5"/>
      <c r="B35" s="5"/>
      <c r="C35" s="5"/>
      <c r="D35" s="5"/>
      <c r="E35" s="5"/>
      <c r="F35" s="5"/>
      <c r="G35" s="5"/>
      <c r="H35" s="5"/>
    </row>
    <row r="36" spans="1:8" x14ac:dyDescent="0.3">
      <c r="A36" s="5"/>
      <c r="B36" s="5"/>
      <c r="C36" s="5"/>
      <c r="D36" s="5"/>
      <c r="E36" s="5"/>
      <c r="F36" s="5"/>
      <c r="G36" s="5"/>
      <c r="H36" s="5"/>
    </row>
  </sheetData>
  <mergeCells count="5">
    <mergeCell ref="A1:Q1"/>
    <mergeCell ref="A2:Q2"/>
    <mergeCell ref="S3:T3"/>
    <mergeCell ref="S12:T15"/>
    <mergeCell ref="A34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0"/>
  <sheetViews>
    <sheetView showGridLines="0" zoomScaleNormal="100" workbookViewId="0">
      <selection activeCell="B3" sqref="B3:I3"/>
    </sheetView>
  </sheetViews>
  <sheetFormatPr defaultColWidth="8.6640625" defaultRowHeight="14.4" x14ac:dyDescent="0.3"/>
  <cols>
    <col min="1" max="1" width="3" customWidth="1"/>
    <col min="2" max="2" width="16" customWidth="1"/>
    <col min="3" max="3" width="13" customWidth="1"/>
    <col min="4" max="4" width="26" customWidth="1"/>
    <col min="5" max="5" width="12" customWidth="1"/>
    <col min="6" max="6" width="11" customWidth="1"/>
    <col min="7" max="8" width="12" customWidth="1"/>
    <col min="9" max="9" width="10" customWidth="1"/>
  </cols>
  <sheetData>
    <row r="2" spans="2:9" ht="21.75" customHeight="1" x14ac:dyDescent="0.3">
      <c r="B2" s="12" t="s">
        <v>353</v>
      </c>
      <c r="C2" s="12"/>
      <c r="D2" s="12"/>
      <c r="E2" s="12"/>
      <c r="F2" s="12"/>
      <c r="G2" s="12"/>
      <c r="H2" s="12"/>
      <c r="I2" s="12"/>
    </row>
    <row r="3" spans="2:9" x14ac:dyDescent="0.3">
      <c r="B3" s="11" t="s">
        <v>143</v>
      </c>
      <c r="C3" s="11"/>
      <c r="D3" s="11"/>
      <c r="E3" s="11"/>
      <c r="F3" s="11"/>
      <c r="G3" s="11"/>
      <c r="H3" s="11"/>
      <c r="I3" s="11"/>
    </row>
    <row r="5" spans="2:9" x14ac:dyDescent="0.3">
      <c r="B5" s="65" t="s">
        <v>144</v>
      </c>
    </row>
    <row r="6" spans="2:9" x14ac:dyDescent="0.3">
      <c r="B6" s="68" t="s">
        <v>145</v>
      </c>
      <c r="C6" s="24" t="s">
        <v>146</v>
      </c>
      <c r="D6" s="24" t="s">
        <v>147</v>
      </c>
      <c r="E6" s="24" t="s">
        <v>148</v>
      </c>
      <c r="F6" s="24" t="s">
        <v>149</v>
      </c>
      <c r="G6" s="24" t="s">
        <v>150</v>
      </c>
      <c r="H6" s="24" t="s">
        <v>151</v>
      </c>
    </row>
    <row r="7" spans="2:9" x14ac:dyDescent="0.3">
      <c r="B7" s="44" t="s">
        <v>29</v>
      </c>
      <c r="C7" s="69">
        <v>3</v>
      </c>
      <c r="D7" s="50">
        <v>1038.02</v>
      </c>
      <c r="E7" s="50">
        <v>207.61</v>
      </c>
      <c r="F7" s="62">
        <f t="shared" ref="F7:F19" si="0">D7+E7</f>
        <v>1245.6300000000001</v>
      </c>
      <c r="G7" s="70">
        <v>609.12</v>
      </c>
      <c r="H7" s="45">
        <f t="shared" ref="H7:H20" si="1">F7-G7</f>
        <v>636.5100000000001</v>
      </c>
    </row>
    <row r="8" spans="2:9" x14ac:dyDescent="0.3">
      <c r="B8" s="44" t="s">
        <v>30</v>
      </c>
      <c r="C8" s="69">
        <v>2</v>
      </c>
      <c r="D8" s="50">
        <v>679.76</v>
      </c>
      <c r="E8" s="50">
        <v>135.96</v>
      </c>
      <c r="F8" s="62">
        <f t="shared" si="0"/>
        <v>815.72</v>
      </c>
      <c r="G8" s="70">
        <v>207.16</v>
      </c>
      <c r="H8" s="45">
        <f t="shared" si="1"/>
        <v>608.56000000000006</v>
      </c>
    </row>
    <row r="9" spans="2:9" x14ac:dyDescent="0.3">
      <c r="B9" s="44" t="s">
        <v>31</v>
      </c>
      <c r="C9" s="69">
        <v>4</v>
      </c>
      <c r="D9" s="50">
        <v>1596.6</v>
      </c>
      <c r="E9" s="50">
        <v>319.32</v>
      </c>
      <c r="F9" s="62">
        <f t="shared" si="0"/>
        <v>1915.9199999999998</v>
      </c>
      <c r="G9" s="70">
        <v>1915.92</v>
      </c>
      <c r="H9" s="45">
        <f t="shared" si="1"/>
        <v>0</v>
      </c>
    </row>
    <row r="10" spans="2:9" x14ac:dyDescent="0.3">
      <c r="B10" s="44" t="s">
        <v>32</v>
      </c>
      <c r="C10" s="69">
        <v>5</v>
      </c>
      <c r="D10" s="50">
        <v>1731.41</v>
      </c>
      <c r="E10" s="50">
        <v>346.28</v>
      </c>
      <c r="F10" s="62">
        <f t="shared" si="0"/>
        <v>2077.69</v>
      </c>
      <c r="G10" s="70">
        <v>2077.69</v>
      </c>
      <c r="H10" s="45">
        <f t="shared" si="1"/>
        <v>0</v>
      </c>
    </row>
    <row r="11" spans="2:9" x14ac:dyDescent="0.3">
      <c r="B11" s="44" t="s">
        <v>33</v>
      </c>
      <c r="C11" s="69">
        <v>3</v>
      </c>
      <c r="D11" s="50">
        <v>1302.08</v>
      </c>
      <c r="E11" s="50">
        <v>260.41000000000003</v>
      </c>
      <c r="F11" s="62">
        <f t="shared" si="0"/>
        <v>1562.49</v>
      </c>
      <c r="G11" s="70">
        <v>1562.49</v>
      </c>
      <c r="H11" s="45">
        <f t="shared" si="1"/>
        <v>0</v>
      </c>
    </row>
    <row r="12" spans="2:9" x14ac:dyDescent="0.3">
      <c r="B12" s="44" t="s">
        <v>34</v>
      </c>
      <c r="C12" s="69">
        <v>3</v>
      </c>
      <c r="D12" s="50">
        <v>1370.32</v>
      </c>
      <c r="E12" s="50">
        <v>274.06</v>
      </c>
      <c r="F12" s="62">
        <f t="shared" si="0"/>
        <v>1644.3799999999999</v>
      </c>
      <c r="G12" s="70">
        <v>1644.38</v>
      </c>
      <c r="H12" s="45">
        <f t="shared" si="1"/>
        <v>0</v>
      </c>
    </row>
    <row r="13" spans="2:9" x14ac:dyDescent="0.3">
      <c r="B13" s="44" t="s">
        <v>35</v>
      </c>
      <c r="C13" s="69">
        <v>5</v>
      </c>
      <c r="D13" s="50">
        <v>2104.0500000000002</v>
      </c>
      <c r="E13" s="50">
        <v>420.81</v>
      </c>
      <c r="F13" s="62">
        <f t="shared" si="0"/>
        <v>2524.86</v>
      </c>
      <c r="G13" s="70">
        <v>2524.86</v>
      </c>
      <c r="H13" s="45">
        <f t="shared" si="1"/>
        <v>0</v>
      </c>
    </row>
    <row r="14" spans="2:9" x14ac:dyDescent="0.3">
      <c r="B14" s="44" t="s">
        <v>36</v>
      </c>
      <c r="C14" s="69">
        <v>3</v>
      </c>
      <c r="D14" s="50">
        <v>1410.94</v>
      </c>
      <c r="E14" s="50">
        <v>282.18</v>
      </c>
      <c r="F14" s="62">
        <f t="shared" si="0"/>
        <v>1693.1200000000001</v>
      </c>
      <c r="G14" s="70">
        <v>1693.12</v>
      </c>
      <c r="H14" s="45">
        <f t="shared" si="1"/>
        <v>0</v>
      </c>
    </row>
    <row r="15" spans="2:9" x14ac:dyDescent="0.3">
      <c r="B15" s="44" t="s">
        <v>37</v>
      </c>
      <c r="C15" s="69">
        <v>2</v>
      </c>
      <c r="D15" s="50">
        <v>701.01</v>
      </c>
      <c r="E15" s="50">
        <v>140.19999999999999</v>
      </c>
      <c r="F15" s="62">
        <f t="shared" si="0"/>
        <v>841.21</v>
      </c>
      <c r="G15" s="70">
        <v>841.21</v>
      </c>
      <c r="H15" s="45">
        <f t="shared" si="1"/>
        <v>0</v>
      </c>
    </row>
    <row r="16" spans="2:9" x14ac:dyDescent="0.3">
      <c r="B16" s="44" t="s">
        <v>38</v>
      </c>
      <c r="C16" s="69">
        <v>3</v>
      </c>
      <c r="D16" s="50">
        <v>1448.54</v>
      </c>
      <c r="E16" s="50">
        <v>289.72000000000003</v>
      </c>
      <c r="F16" s="62">
        <f t="shared" si="0"/>
        <v>1738.26</v>
      </c>
      <c r="G16" s="70">
        <v>1738.26</v>
      </c>
      <c r="H16" s="45">
        <f t="shared" si="1"/>
        <v>0</v>
      </c>
    </row>
    <row r="17" spans="2:9" x14ac:dyDescent="0.3">
      <c r="B17" s="44" t="s">
        <v>39</v>
      </c>
      <c r="C17" s="69">
        <v>3</v>
      </c>
      <c r="D17" s="50">
        <v>1316.6</v>
      </c>
      <c r="E17" s="50">
        <v>263.32</v>
      </c>
      <c r="F17" s="62">
        <f t="shared" si="0"/>
        <v>1579.9199999999998</v>
      </c>
      <c r="G17" s="70">
        <v>1579.92</v>
      </c>
      <c r="H17" s="45">
        <f t="shared" si="1"/>
        <v>0</v>
      </c>
    </row>
    <row r="18" spans="2:9" x14ac:dyDescent="0.3">
      <c r="B18" s="44" t="s">
        <v>40</v>
      </c>
      <c r="C18" s="69">
        <v>2</v>
      </c>
      <c r="D18" s="50">
        <v>613.48</v>
      </c>
      <c r="E18" s="50">
        <v>122.7</v>
      </c>
      <c r="F18" s="62">
        <f t="shared" si="0"/>
        <v>736.18000000000006</v>
      </c>
      <c r="G18" s="70">
        <v>1336.44</v>
      </c>
      <c r="H18" s="45">
        <f t="shared" si="1"/>
        <v>-600.26</v>
      </c>
    </row>
    <row r="19" spans="2:9" x14ac:dyDescent="0.3">
      <c r="B19" s="44" t="s">
        <v>41</v>
      </c>
      <c r="C19" s="69">
        <v>3</v>
      </c>
      <c r="D19" s="50">
        <v>1283.71</v>
      </c>
      <c r="E19" s="50">
        <v>256.74</v>
      </c>
      <c r="F19" s="62">
        <f t="shared" si="0"/>
        <v>1540.45</v>
      </c>
      <c r="G19" s="70">
        <v>1540.45</v>
      </c>
      <c r="H19" s="45">
        <f t="shared" si="1"/>
        <v>0</v>
      </c>
    </row>
    <row r="20" spans="2:9" x14ac:dyDescent="0.3">
      <c r="B20" s="52" t="s">
        <v>109</v>
      </c>
      <c r="C20" s="71">
        <f>SUM(C7:C19)</f>
        <v>41</v>
      </c>
      <c r="D20" s="53">
        <f>SUM(D7:D19)</f>
        <v>16596.52</v>
      </c>
      <c r="E20" s="53">
        <f>SUM(E7:E19)</f>
        <v>3319.3100000000004</v>
      </c>
      <c r="F20" s="53">
        <f>SUM(F7:F19)</f>
        <v>19915.830000000002</v>
      </c>
      <c r="G20" s="53">
        <f>SUM(G7:G19)</f>
        <v>19271.019999999997</v>
      </c>
      <c r="H20" s="63">
        <f t="shared" si="1"/>
        <v>644.81000000000495</v>
      </c>
    </row>
    <row r="22" spans="2:9" ht="15" customHeight="1" x14ac:dyDescent="0.3">
      <c r="B22" s="5" t="s">
        <v>152</v>
      </c>
      <c r="C22" s="5"/>
      <c r="D22" s="5"/>
      <c r="E22" s="5"/>
      <c r="F22" s="5"/>
      <c r="G22" s="5"/>
      <c r="H22" s="5"/>
      <c r="I22" s="5"/>
    </row>
    <row r="23" spans="2:9" x14ac:dyDescent="0.3">
      <c r="B23" s="5"/>
      <c r="C23" s="5"/>
      <c r="D23" s="5"/>
      <c r="E23" s="5"/>
      <c r="F23" s="5"/>
      <c r="G23" s="5"/>
      <c r="H23" s="5"/>
      <c r="I23" s="5"/>
    </row>
    <row r="24" spans="2:9" x14ac:dyDescent="0.3">
      <c r="B24" s="5"/>
      <c r="C24" s="5"/>
      <c r="D24" s="5"/>
      <c r="E24" s="5"/>
      <c r="F24" s="5"/>
      <c r="G24" s="5"/>
      <c r="H24" s="5"/>
      <c r="I24" s="5"/>
    </row>
    <row r="26" spans="2:9" x14ac:dyDescent="0.3">
      <c r="B26" s="65" t="s">
        <v>153</v>
      </c>
    </row>
    <row r="27" spans="2:9" x14ac:dyDescent="0.3">
      <c r="B27" s="68" t="s">
        <v>154</v>
      </c>
      <c r="C27" s="68" t="s">
        <v>155</v>
      </c>
      <c r="D27" s="68" t="s">
        <v>156</v>
      </c>
      <c r="E27" s="24" t="s">
        <v>157</v>
      </c>
      <c r="F27" s="24" t="s">
        <v>158</v>
      </c>
      <c r="G27" s="24" t="s">
        <v>159</v>
      </c>
    </row>
    <row r="28" spans="2:9" x14ac:dyDescent="0.3">
      <c r="B28" s="58" t="s">
        <v>160</v>
      </c>
      <c r="C28" s="72" t="s">
        <v>161</v>
      </c>
      <c r="D28" s="73" t="s">
        <v>162</v>
      </c>
      <c r="E28" s="74">
        <v>205.29</v>
      </c>
      <c r="F28" s="74">
        <v>41.06</v>
      </c>
      <c r="G28" s="75">
        <v>246.35</v>
      </c>
    </row>
    <row r="29" spans="2:9" x14ac:dyDescent="0.3">
      <c r="B29" s="58" t="s">
        <v>163</v>
      </c>
      <c r="C29" s="72" t="s">
        <v>164</v>
      </c>
      <c r="D29" s="73" t="s">
        <v>165</v>
      </c>
      <c r="E29" s="74">
        <v>174.24</v>
      </c>
      <c r="F29" s="74">
        <v>34.85</v>
      </c>
      <c r="G29" s="75">
        <v>209.09</v>
      </c>
    </row>
    <row r="30" spans="2:9" x14ac:dyDescent="0.3">
      <c r="B30" s="58" t="s">
        <v>166</v>
      </c>
      <c r="C30" s="72" t="s">
        <v>167</v>
      </c>
      <c r="D30" s="73" t="s">
        <v>168</v>
      </c>
      <c r="E30" s="74">
        <v>356.18</v>
      </c>
      <c r="F30" s="74">
        <v>71.239999999999995</v>
      </c>
      <c r="G30" s="75">
        <v>427.42</v>
      </c>
    </row>
    <row r="31" spans="2:9" x14ac:dyDescent="0.3">
      <c r="B31" s="58" t="s">
        <v>169</v>
      </c>
      <c r="C31" s="72" t="s">
        <v>170</v>
      </c>
      <c r="D31" s="73" t="s">
        <v>171</v>
      </c>
      <c r="E31" s="74">
        <v>507.6</v>
      </c>
      <c r="F31" s="74">
        <v>101.52</v>
      </c>
      <c r="G31" s="75">
        <v>609.12</v>
      </c>
    </row>
    <row r="32" spans="2:9" x14ac:dyDescent="0.3">
      <c r="B32" s="58" t="s">
        <v>172</v>
      </c>
      <c r="C32" s="72" t="s">
        <v>173</v>
      </c>
      <c r="D32" s="73" t="s">
        <v>174</v>
      </c>
      <c r="E32" s="74">
        <v>172.63</v>
      </c>
      <c r="F32" s="74">
        <v>34.53</v>
      </c>
      <c r="G32" s="75">
        <v>207.16</v>
      </c>
    </row>
    <row r="33" spans="2:7" x14ac:dyDescent="0.3">
      <c r="B33" s="58" t="s">
        <v>175</v>
      </c>
      <c r="C33" s="72" t="s">
        <v>176</v>
      </c>
      <c r="D33" s="73" t="s">
        <v>177</v>
      </c>
      <c r="E33" s="74">
        <v>507.13</v>
      </c>
      <c r="F33" s="74">
        <v>101.43</v>
      </c>
      <c r="G33" s="75">
        <v>608.55999999999995</v>
      </c>
    </row>
    <row r="34" spans="2:7" x14ac:dyDescent="0.3">
      <c r="B34" s="58" t="s">
        <v>178</v>
      </c>
      <c r="C34" s="72" t="s">
        <v>179</v>
      </c>
      <c r="D34" s="73" t="s">
        <v>180</v>
      </c>
      <c r="E34" s="74">
        <v>406.52</v>
      </c>
      <c r="F34" s="74">
        <v>81.3</v>
      </c>
      <c r="G34" s="75">
        <v>487.82</v>
      </c>
    </row>
    <row r="35" spans="2:7" x14ac:dyDescent="0.3">
      <c r="B35" s="58" t="s">
        <v>181</v>
      </c>
      <c r="C35" s="72" t="s">
        <v>182</v>
      </c>
      <c r="D35" s="73" t="s">
        <v>183</v>
      </c>
      <c r="E35" s="74">
        <v>509.23</v>
      </c>
      <c r="F35" s="74">
        <v>101.85</v>
      </c>
      <c r="G35" s="75">
        <v>611.08000000000004</v>
      </c>
    </row>
    <row r="36" spans="2:7" x14ac:dyDescent="0.3">
      <c r="B36" s="58" t="s">
        <v>184</v>
      </c>
      <c r="C36" s="72" t="s">
        <v>185</v>
      </c>
      <c r="D36" s="73" t="s">
        <v>186</v>
      </c>
      <c r="E36" s="74">
        <v>509.49</v>
      </c>
      <c r="F36" s="74">
        <v>101.9</v>
      </c>
      <c r="G36" s="75">
        <v>611.39</v>
      </c>
    </row>
    <row r="37" spans="2:7" x14ac:dyDescent="0.3">
      <c r="B37" s="58" t="s">
        <v>187</v>
      </c>
      <c r="C37" s="72" t="s">
        <v>188</v>
      </c>
      <c r="D37" s="73" t="s">
        <v>189</v>
      </c>
      <c r="E37" s="74">
        <v>171.36</v>
      </c>
      <c r="F37" s="74">
        <v>34.270000000000003</v>
      </c>
      <c r="G37" s="75">
        <v>205.63</v>
      </c>
    </row>
    <row r="38" spans="2:7" x14ac:dyDescent="0.3">
      <c r="B38" s="58" t="s">
        <v>190</v>
      </c>
      <c r="C38" s="72" t="s">
        <v>191</v>
      </c>
      <c r="D38" s="73" t="s">
        <v>192</v>
      </c>
      <c r="E38" s="74">
        <v>152.02000000000001</v>
      </c>
      <c r="F38" s="74">
        <v>30.4</v>
      </c>
      <c r="G38" s="75">
        <v>182.42</v>
      </c>
    </row>
    <row r="39" spans="2:7" x14ac:dyDescent="0.3">
      <c r="B39" s="58" t="s">
        <v>193</v>
      </c>
      <c r="C39" s="72" t="s">
        <v>194</v>
      </c>
      <c r="D39" s="73" t="s">
        <v>195</v>
      </c>
      <c r="E39" s="74">
        <v>203.79</v>
      </c>
      <c r="F39" s="74">
        <v>40.76</v>
      </c>
      <c r="G39" s="75">
        <v>244.55</v>
      </c>
    </row>
    <row r="40" spans="2:7" x14ac:dyDescent="0.3">
      <c r="B40" s="58" t="s">
        <v>196</v>
      </c>
      <c r="C40" s="72" t="s">
        <v>197</v>
      </c>
      <c r="D40" s="73" t="s">
        <v>198</v>
      </c>
      <c r="E40" s="74">
        <v>357.32</v>
      </c>
      <c r="F40" s="74">
        <v>71.459999999999994</v>
      </c>
      <c r="G40" s="75">
        <v>428.78</v>
      </c>
    </row>
    <row r="41" spans="2:7" x14ac:dyDescent="0.3">
      <c r="B41" s="58" t="s">
        <v>199</v>
      </c>
      <c r="C41" s="72" t="s">
        <v>200</v>
      </c>
      <c r="D41" s="73" t="s">
        <v>201</v>
      </c>
      <c r="E41" s="74">
        <v>508.09</v>
      </c>
      <c r="F41" s="74">
        <v>101.62</v>
      </c>
      <c r="G41" s="75">
        <v>609.71</v>
      </c>
    </row>
    <row r="42" spans="2:7" x14ac:dyDescent="0.3">
      <c r="B42" s="58" t="s">
        <v>202</v>
      </c>
      <c r="C42" s="72" t="s">
        <v>203</v>
      </c>
      <c r="D42" s="73" t="s">
        <v>204</v>
      </c>
      <c r="E42" s="74">
        <v>510.19</v>
      </c>
      <c r="F42" s="74">
        <v>102.04</v>
      </c>
      <c r="G42" s="75">
        <v>612.23</v>
      </c>
    </row>
    <row r="43" spans="2:7" x14ac:dyDescent="0.3">
      <c r="B43" s="58" t="s">
        <v>205</v>
      </c>
      <c r="C43" s="72" t="s">
        <v>206</v>
      </c>
      <c r="D43" s="73" t="s">
        <v>207</v>
      </c>
      <c r="E43" s="74">
        <v>279.16000000000003</v>
      </c>
      <c r="F43" s="74">
        <v>55.83</v>
      </c>
      <c r="G43" s="75">
        <v>334.99</v>
      </c>
    </row>
    <row r="44" spans="2:7" x14ac:dyDescent="0.3">
      <c r="B44" s="58" t="s">
        <v>208</v>
      </c>
      <c r="C44" s="72" t="s">
        <v>209</v>
      </c>
      <c r="D44" s="73" t="s">
        <v>210</v>
      </c>
      <c r="E44" s="74">
        <v>514</v>
      </c>
      <c r="F44" s="74">
        <v>102.8</v>
      </c>
      <c r="G44" s="75">
        <v>616.79999999999995</v>
      </c>
    </row>
    <row r="45" spans="2:7" x14ac:dyDescent="0.3">
      <c r="B45" s="58" t="s">
        <v>211</v>
      </c>
      <c r="C45" s="72" t="s">
        <v>212</v>
      </c>
      <c r="D45" s="73" t="s">
        <v>213</v>
      </c>
      <c r="E45" s="74">
        <v>508.92</v>
      </c>
      <c r="F45" s="74">
        <v>101.78</v>
      </c>
      <c r="G45" s="75">
        <v>610.70000000000005</v>
      </c>
    </row>
    <row r="46" spans="2:7" x14ac:dyDescent="0.3">
      <c r="B46" s="58" t="s">
        <v>214</v>
      </c>
      <c r="C46" s="72" t="s">
        <v>215</v>
      </c>
      <c r="D46" s="73" t="s">
        <v>216</v>
      </c>
      <c r="E46" s="74">
        <v>350.77</v>
      </c>
      <c r="F46" s="74">
        <v>70.150000000000006</v>
      </c>
      <c r="G46" s="75">
        <v>420.92</v>
      </c>
    </row>
    <row r="47" spans="2:7" x14ac:dyDescent="0.3">
      <c r="B47" s="58" t="s">
        <v>217</v>
      </c>
      <c r="C47" s="72" t="s">
        <v>218</v>
      </c>
      <c r="D47" s="73" t="s">
        <v>219</v>
      </c>
      <c r="E47" s="74">
        <v>508.07</v>
      </c>
      <c r="F47" s="74">
        <v>101.61</v>
      </c>
      <c r="G47" s="75">
        <v>609.67999999999995</v>
      </c>
    </row>
    <row r="48" spans="2:7" x14ac:dyDescent="0.3">
      <c r="B48" s="58" t="s">
        <v>220</v>
      </c>
      <c r="C48" s="72" t="s">
        <v>221</v>
      </c>
      <c r="D48" s="73" t="s">
        <v>222</v>
      </c>
      <c r="E48" s="74">
        <v>511.48</v>
      </c>
      <c r="F48" s="74">
        <v>102.3</v>
      </c>
      <c r="G48" s="75">
        <v>613.78</v>
      </c>
    </row>
    <row r="49" spans="2:7" x14ac:dyDescent="0.3">
      <c r="B49" s="58" t="s">
        <v>223</v>
      </c>
      <c r="C49" s="72" t="s">
        <v>224</v>
      </c>
      <c r="D49" s="73" t="s">
        <v>225</v>
      </c>
      <c r="E49" s="74">
        <v>507.93</v>
      </c>
      <c r="F49" s="74">
        <v>101.59</v>
      </c>
      <c r="G49" s="75">
        <v>609.52</v>
      </c>
    </row>
    <row r="50" spans="2:7" x14ac:dyDescent="0.3">
      <c r="B50" s="58" t="s">
        <v>226</v>
      </c>
      <c r="C50" s="72" t="s">
        <v>227</v>
      </c>
      <c r="D50" s="73" t="s">
        <v>228</v>
      </c>
      <c r="E50" s="74">
        <v>82.98</v>
      </c>
      <c r="F50" s="74">
        <v>16.600000000000001</v>
      </c>
      <c r="G50" s="75">
        <v>99.58</v>
      </c>
    </row>
    <row r="51" spans="2:7" x14ac:dyDescent="0.3">
      <c r="B51" s="58" t="s">
        <v>229</v>
      </c>
      <c r="C51" s="72" t="s">
        <v>230</v>
      </c>
      <c r="D51" s="73" t="s">
        <v>231</v>
      </c>
      <c r="E51" s="74">
        <v>509.77</v>
      </c>
      <c r="F51" s="74">
        <v>101.95</v>
      </c>
      <c r="G51" s="75">
        <v>611.72</v>
      </c>
    </row>
    <row r="52" spans="2:7" x14ac:dyDescent="0.3">
      <c r="B52" s="58" t="s">
        <v>232</v>
      </c>
      <c r="C52" s="72" t="s">
        <v>233</v>
      </c>
      <c r="D52" s="73" t="s">
        <v>234</v>
      </c>
      <c r="E52" s="74">
        <v>503.12</v>
      </c>
      <c r="F52" s="74">
        <v>100.62</v>
      </c>
      <c r="G52" s="75">
        <v>603.74</v>
      </c>
    </row>
    <row r="53" spans="2:7" x14ac:dyDescent="0.3">
      <c r="B53" s="58" t="s">
        <v>235</v>
      </c>
      <c r="C53" s="72" t="s">
        <v>236</v>
      </c>
      <c r="D53" s="73" t="s">
        <v>237</v>
      </c>
      <c r="E53" s="74">
        <v>500.25</v>
      </c>
      <c r="F53" s="74">
        <v>100.05</v>
      </c>
      <c r="G53" s="75">
        <v>600.29999999999995</v>
      </c>
    </row>
    <row r="54" spans="2:7" x14ac:dyDescent="0.3">
      <c r="B54" s="58" t="s">
        <v>238</v>
      </c>
      <c r="C54" s="72" t="s">
        <v>239</v>
      </c>
      <c r="D54" s="73" t="s">
        <v>240</v>
      </c>
      <c r="E54" s="74">
        <v>410.12</v>
      </c>
      <c r="F54" s="74">
        <v>82.02</v>
      </c>
      <c r="G54" s="75">
        <v>492.14</v>
      </c>
    </row>
    <row r="55" spans="2:7" x14ac:dyDescent="0.3">
      <c r="B55" s="58" t="s">
        <v>241</v>
      </c>
      <c r="C55" s="72" t="s">
        <v>242</v>
      </c>
      <c r="D55" s="73" t="s">
        <v>243</v>
      </c>
      <c r="E55" s="74">
        <v>500.16</v>
      </c>
      <c r="F55" s="74">
        <v>100.03</v>
      </c>
      <c r="G55" s="75">
        <v>600.19000000000005</v>
      </c>
    </row>
    <row r="56" spans="2:7" x14ac:dyDescent="0.3">
      <c r="B56" s="58" t="s">
        <v>244</v>
      </c>
      <c r="C56" s="72" t="s">
        <v>245</v>
      </c>
      <c r="D56" s="73" t="s">
        <v>246</v>
      </c>
      <c r="E56" s="74">
        <v>500.66</v>
      </c>
      <c r="F56" s="74">
        <v>100.13</v>
      </c>
      <c r="G56" s="75">
        <v>600.79</v>
      </c>
    </row>
    <row r="57" spans="2:7" x14ac:dyDescent="0.3">
      <c r="B57" s="58" t="s">
        <v>247</v>
      </c>
      <c r="C57" s="72" t="s">
        <v>248</v>
      </c>
      <c r="D57" s="73" t="s">
        <v>249</v>
      </c>
      <c r="E57" s="74">
        <v>199.1</v>
      </c>
      <c r="F57" s="74">
        <v>39.82</v>
      </c>
      <c r="G57" s="75">
        <v>238.92</v>
      </c>
    </row>
    <row r="58" spans="2:7" x14ac:dyDescent="0.3">
      <c r="B58" s="58" t="s">
        <v>250</v>
      </c>
      <c r="C58" s="72" t="s">
        <v>251</v>
      </c>
      <c r="D58" s="73" t="s">
        <v>252</v>
      </c>
      <c r="E58" s="74">
        <v>501.91</v>
      </c>
      <c r="F58" s="74">
        <v>100.38</v>
      </c>
      <c r="G58" s="75">
        <v>602.29</v>
      </c>
    </row>
    <row r="59" spans="2:7" x14ac:dyDescent="0.3">
      <c r="B59" s="58" t="s">
        <v>253</v>
      </c>
      <c r="C59" s="72" t="s">
        <v>254</v>
      </c>
      <c r="D59" s="73" t="s">
        <v>255</v>
      </c>
      <c r="E59" s="74">
        <v>447.68</v>
      </c>
      <c r="F59" s="74">
        <v>89.54</v>
      </c>
      <c r="G59" s="75">
        <v>537.22</v>
      </c>
    </row>
    <row r="60" spans="2:7" x14ac:dyDescent="0.3">
      <c r="B60" s="58" t="s">
        <v>256</v>
      </c>
      <c r="C60" s="72" t="s">
        <v>257</v>
      </c>
      <c r="D60" s="73" t="s">
        <v>258</v>
      </c>
      <c r="E60" s="74">
        <v>500.73</v>
      </c>
      <c r="F60" s="74">
        <v>100.15</v>
      </c>
      <c r="G60" s="75">
        <v>600.88</v>
      </c>
    </row>
    <row r="61" spans="2:7" x14ac:dyDescent="0.3">
      <c r="B61" s="58" t="s">
        <v>259</v>
      </c>
      <c r="C61" s="72" t="s">
        <v>260</v>
      </c>
      <c r="D61" s="73" t="s">
        <v>261</v>
      </c>
      <c r="E61" s="74">
        <v>500.13</v>
      </c>
      <c r="F61" s="74">
        <v>100.03</v>
      </c>
      <c r="G61" s="75">
        <v>600.16</v>
      </c>
    </row>
    <row r="62" spans="2:7" x14ac:dyDescent="0.3">
      <c r="B62" s="58" t="s">
        <v>262</v>
      </c>
      <c r="C62" s="72" t="s">
        <v>263</v>
      </c>
      <c r="D62" s="73" t="s">
        <v>264</v>
      </c>
      <c r="E62" s="74">
        <v>236.64</v>
      </c>
      <c r="F62" s="74">
        <v>47.33</v>
      </c>
      <c r="G62" s="75">
        <v>283.97000000000003</v>
      </c>
    </row>
    <row r="63" spans="2:7" x14ac:dyDescent="0.3">
      <c r="B63" s="58" t="s">
        <v>265</v>
      </c>
      <c r="C63" s="72" t="s">
        <v>266</v>
      </c>
      <c r="D63" s="73" t="s">
        <v>267</v>
      </c>
      <c r="E63" s="74">
        <v>579.79</v>
      </c>
      <c r="F63" s="74">
        <v>115.96</v>
      </c>
      <c r="G63" s="75">
        <v>695.75</v>
      </c>
    </row>
    <row r="64" spans="2:7" x14ac:dyDescent="0.3">
      <c r="B64" s="58" t="s">
        <v>268</v>
      </c>
      <c r="C64" s="72" t="s">
        <v>269</v>
      </c>
      <c r="D64" s="73" t="s">
        <v>270</v>
      </c>
      <c r="E64" s="74">
        <v>500.17</v>
      </c>
      <c r="F64" s="74">
        <v>100.03</v>
      </c>
      <c r="G64" s="75">
        <v>600.20000000000005</v>
      </c>
    </row>
    <row r="65" spans="2:7" x14ac:dyDescent="0.3">
      <c r="B65" s="58" t="s">
        <v>271</v>
      </c>
      <c r="C65" s="72" t="s">
        <v>272</v>
      </c>
      <c r="D65" s="73" t="s">
        <v>273</v>
      </c>
      <c r="E65" s="74">
        <v>113.24</v>
      </c>
      <c r="F65" s="74">
        <v>22.65</v>
      </c>
      <c r="G65" s="75">
        <v>135.88999999999999</v>
      </c>
    </row>
    <row r="66" spans="2:7" x14ac:dyDescent="0.3">
      <c r="B66" s="58" t="s">
        <v>274</v>
      </c>
      <c r="C66" s="72" t="s">
        <v>275</v>
      </c>
      <c r="D66" s="73" t="s">
        <v>276</v>
      </c>
      <c r="E66" s="74">
        <v>500.24</v>
      </c>
      <c r="F66" s="74">
        <v>100.05</v>
      </c>
      <c r="G66" s="75">
        <v>600.29</v>
      </c>
    </row>
    <row r="67" spans="2:7" x14ac:dyDescent="0.3">
      <c r="B67" s="58" t="s">
        <v>277</v>
      </c>
      <c r="C67" s="72" t="s">
        <v>278</v>
      </c>
      <c r="D67" s="73" t="s">
        <v>279</v>
      </c>
      <c r="E67" s="74">
        <v>283.66000000000003</v>
      </c>
      <c r="F67" s="74">
        <v>56.73</v>
      </c>
      <c r="G67" s="75">
        <v>340.39</v>
      </c>
    </row>
    <row r="68" spans="2:7" x14ac:dyDescent="0.3">
      <c r="B68" s="58" t="s">
        <v>280</v>
      </c>
      <c r="C68" s="72" t="s">
        <v>281</v>
      </c>
      <c r="D68" s="73" t="s">
        <v>282</v>
      </c>
      <c r="E68" s="74">
        <v>500.03</v>
      </c>
      <c r="F68" s="74">
        <v>100.01</v>
      </c>
      <c r="G68" s="75">
        <v>600.04</v>
      </c>
    </row>
    <row r="69" spans="2:7" x14ac:dyDescent="0.3">
      <c r="B69" s="58" t="s">
        <v>283</v>
      </c>
      <c r="C69" s="72" t="s">
        <v>284</v>
      </c>
      <c r="D69" s="73" t="s">
        <v>285</v>
      </c>
      <c r="E69" s="74">
        <v>500.02</v>
      </c>
      <c r="F69" s="74">
        <v>100</v>
      </c>
      <c r="G69" s="75">
        <v>600.02</v>
      </c>
    </row>
    <row r="70" spans="2:7" x14ac:dyDescent="0.3">
      <c r="B70" s="52" t="s">
        <v>109</v>
      </c>
      <c r="E70" s="63">
        <f>SUM(E28:E69)</f>
        <v>16801.810000000001</v>
      </c>
      <c r="F70" s="63">
        <f>SUM(F28:F69)</f>
        <v>3360.3700000000013</v>
      </c>
      <c r="G70" s="63">
        <f>SUM(G28:G69)</f>
        <v>20162.18</v>
      </c>
    </row>
  </sheetData>
  <mergeCells count="3">
    <mergeCell ref="B2:I2"/>
    <mergeCell ref="B3:I3"/>
    <mergeCell ref="B22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topLeftCell="A18" zoomScaleNormal="100" workbookViewId="0">
      <selection activeCell="F18" sqref="F18"/>
    </sheetView>
  </sheetViews>
  <sheetFormatPr defaultColWidth="8.6640625" defaultRowHeight="14.4" x14ac:dyDescent="0.3"/>
  <cols>
    <col min="1" max="1" width="3" customWidth="1"/>
    <col min="2" max="2" width="9" customWidth="1"/>
    <col min="3" max="11" width="11" customWidth="1"/>
  </cols>
  <sheetData>
    <row r="2" spans="2:11" ht="21.75" customHeight="1" x14ac:dyDescent="0.3">
      <c r="B2" s="12" t="s">
        <v>286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3">
      <c r="B3" s="11" t="s">
        <v>287</v>
      </c>
      <c r="C3" s="11"/>
      <c r="D3" s="11"/>
      <c r="E3" s="11"/>
      <c r="F3" s="11"/>
      <c r="G3" s="11"/>
      <c r="H3" s="11"/>
      <c r="I3" s="11"/>
      <c r="J3" s="11"/>
      <c r="K3" s="11"/>
    </row>
    <row r="5" spans="2:11" x14ac:dyDescent="0.3">
      <c r="B5" s="76"/>
      <c r="C5" s="4" t="s">
        <v>288</v>
      </c>
      <c r="D5" s="4"/>
      <c r="E5" s="4"/>
      <c r="F5" s="4" t="s">
        <v>289</v>
      </c>
      <c r="G5" s="4"/>
      <c r="H5" s="4"/>
      <c r="I5" s="4" t="s">
        <v>290</v>
      </c>
      <c r="J5" s="4"/>
      <c r="K5" s="4"/>
    </row>
    <row r="6" spans="2:11" x14ac:dyDescent="0.3">
      <c r="B6" s="68" t="s">
        <v>145</v>
      </c>
      <c r="C6" s="24" t="s">
        <v>291</v>
      </c>
      <c r="D6" s="24" t="s">
        <v>292</v>
      </c>
      <c r="E6" s="24" t="s">
        <v>293</v>
      </c>
      <c r="F6" s="24" t="s">
        <v>291</v>
      </c>
      <c r="G6" s="24" t="s">
        <v>292</v>
      </c>
      <c r="H6" s="24" t="s">
        <v>293</v>
      </c>
      <c r="I6" s="24" t="s">
        <v>291</v>
      </c>
      <c r="J6" s="24" t="s">
        <v>292</v>
      </c>
      <c r="K6" s="24" t="s">
        <v>293</v>
      </c>
    </row>
    <row r="7" spans="2:11" x14ac:dyDescent="0.3">
      <c r="B7" s="44" t="s">
        <v>29</v>
      </c>
      <c r="C7" s="70">
        <v>-788.05</v>
      </c>
      <c r="D7" s="50">
        <v>-788.05</v>
      </c>
      <c r="E7" s="77">
        <f t="shared" ref="E7:E20" si="0">D7-C7</f>
        <v>0</v>
      </c>
      <c r="F7" s="70">
        <v>-1679.97</v>
      </c>
      <c r="G7" s="50">
        <v>-1679.97</v>
      </c>
      <c r="H7" s="77">
        <f t="shared" ref="H7:H20" si="1">G7-F7</f>
        <v>0</v>
      </c>
      <c r="I7" s="70">
        <v>-169.72</v>
      </c>
      <c r="J7" s="50">
        <v>-169.72</v>
      </c>
      <c r="K7" s="77">
        <f t="shared" ref="K7:K20" si="2">J7-I7</f>
        <v>0</v>
      </c>
    </row>
    <row r="8" spans="2:11" x14ac:dyDescent="0.3">
      <c r="B8" s="44" t="s">
        <v>30</v>
      </c>
      <c r="C8" s="70">
        <v>-509.44</v>
      </c>
      <c r="D8" s="50">
        <v>-509.44</v>
      </c>
      <c r="E8" s="77">
        <f t="shared" si="0"/>
        <v>0</v>
      </c>
      <c r="F8" s="70">
        <v>-2047.58</v>
      </c>
      <c r="G8" s="50">
        <v>-2047.58</v>
      </c>
      <c r="H8" s="77">
        <f t="shared" si="1"/>
        <v>0</v>
      </c>
      <c r="I8" s="70">
        <v>-101.55</v>
      </c>
      <c r="J8" s="50">
        <v>-101.55</v>
      </c>
      <c r="K8" s="77">
        <f t="shared" si="2"/>
        <v>0</v>
      </c>
    </row>
    <row r="9" spans="2:11" x14ac:dyDescent="0.3">
      <c r="B9" s="44" t="s">
        <v>31</v>
      </c>
      <c r="C9" s="70">
        <v>-130.33000000000001</v>
      </c>
      <c r="D9" s="50">
        <v>-130.33000000000001</v>
      </c>
      <c r="E9" s="77">
        <f t="shared" si="0"/>
        <v>0</v>
      </c>
      <c r="F9" s="70">
        <v>-1663.48</v>
      </c>
      <c r="G9" s="50">
        <v>-1663.48</v>
      </c>
      <c r="H9" s="77">
        <f t="shared" si="1"/>
        <v>0</v>
      </c>
      <c r="I9" s="70">
        <v>-158.52000000000001</v>
      </c>
      <c r="J9" s="50">
        <v>-158.52000000000001</v>
      </c>
      <c r="K9" s="77">
        <f t="shared" si="2"/>
        <v>0</v>
      </c>
    </row>
    <row r="10" spans="2:11" x14ac:dyDescent="0.3">
      <c r="B10" s="44" t="s">
        <v>32</v>
      </c>
      <c r="C10" s="70">
        <v>-985.54</v>
      </c>
      <c r="D10" s="50">
        <v>-985.54</v>
      </c>
      <c r="E10" s="77">
        <f t="shared" si="0"/>
        <v>0</v>
      </c>
      <c r="F10" s="70">
        <v>-2393.87</v>
      </c>
      <c r="G10" s="50">
        <v>-2393.87</v>
      </c>
      <c r="H10" s="77">
        <f t="shared" si="1"/>
        <v>0</v>
      </c>
      <c r="I10" s="70">
        <v>-88.89</v>
      </c>
      <c r="J10" s="50">
        <v>-88.89</v>
      </c>
      <c r="K10" s="77">
        <f t="shared" si="2"/>
        <v>0</v>
      </c>
    </row>
    <row r="11" spans="2:11" x14ac:dyDescent="0.3">
      <c r="B11" s="44" t="s">
        <v>33</v>
      </c>
      <c r="C11" s="70">
        <v>-301.86</v>
      </c>
      <c r="D11" s="50">
        <v>-301.86</v>
      </c>
      <c r="E11" s="77">
        <f t="shared" si="0"/>
        <v>0</v>
      </c>
      <c r="F11" s="70">
        <v>-2067.71</v>
      </c>
      <c r="G11" s="50">
        <v>-2067.71</v>
      </c>
      <c r="H11" s="77">
        <f t="shared" si="1"/>
        <v>0</v>
      </c>
      <c r="I11" s="70">
        <v>-156.97999999999999</v>
      </c>
      <c r="J11" s="50">
        <v>-156.97999999999999</v>
      </c>
      <c r="K11" s="77">
        <f t="shared" si="2"/>
        <v>0</v>
      </c>
    </row>
    <row r="12" spans="2:11" x14ac:dyDescent="0.3">
      <c r="B12" s="44" t="s">
        <v>34</v>
      </c>
      <c r="C12" s="70">
        <v>-1626.52</v>
      </c>
      <c r="D12" s="50">
        <v>-1626.47</v>
      </c>
      <c r="E12" s="77">
        <f t="shared" si="0"/>
        <v>4.9999999999954525E-2</v>
      </c>
      <c r="F12" s="70">
        <v>-3464.75</v>
      </c>
      <c r="G12" s="50">
        <v>-3464.75</v>
      </c>
      <c r="H12" s="77">
        <f t="shared" si="1"/>
        <v>0</v>
      </c>
      <c r="I12" s="70">
        <v>-200.53</v>
      </c>
      <c r="J12" s="50">
        <v>-200.53</v>
      </c>
      <c r="K12" s="77">
        <f t="shared" si="2"/>
        <v>0</v>
      </c>
    </row>
    <row r="13" spans="2:11" x14ac:dyDescent="0.3">
      <c r="B13" s="44" t="s">
        <v>35</v>
      </c>
      <c r="C13" s="70">
        <v>-3110.65</v>
      </c>
      <c r="D13" s="50">
        <v>-3110.65</v>
      </c>
      <c r="E13" s="77">
        <f t="shared" si="0"/>
        <v>0</v>
      </c>
      <c r="F13" s="70">
        <v>-4676.72</v>
      </c>
      <c r="G13" s="50">
        <v>-4676.72</v>
      </c>
      <c r="H13" s="77">
        <f t="shared" si="1"/>
        <v>0</v>
      </c>
      <c r="I13" s="70">
        <v>-434.77</v>
      </c>
      <c r="J13" s="50">
        <v>-434.77</v>
      </c>
      <c r="K13" s="77">
        <f t="shared" si="2"/>
        <v>0</v>
      </c>
    </row>
    <row r="14" spans="2:11" x14ac:dyDescent="0.3">
      <c r="B14" s="44" t="s">
        <v>36</v>
      </c>
      <c r="C14" s="70">
        <v>0</v>
      </c>
      <c r="D14" s="50">
        <v>0</v>
      </c>
      <c r="E14" s="77">
        <f t="shared" si="0"/>
        <v>0</v>
      </c>
      <c r="F14" s="70">
        <v>-1790.18</v>
      </c>
      <c r="G14" s="50">
        <v>-1790.18</v>
      </c>
      <c r="H14" s="77">
        <f t="shared" si="1"/>
        <v>0</v>
      </c>
      <c r="I14" s="70">
        <v>-401.56</v>
      </c>
      <c r="J14" s="50">
        <v>-401.56</v>
      </c>
      <c r="K14" s="77">
        <f t="shared" si="2"/>
        <v>0</v>
      </c>
    </row>
    <row r="15" spans="2:11" x14ac:dyDescent="0.3">
      <c r="B15" s="44" t="s">
        <v>37</v>
      </c>
      <c r="C15" s="70">
        <v>-133.62</v>
      </c>
      <c r="D15" s="50">
        <v>-133.62</v>
      </c>
      <c r="E15" s="77">
        <f t="shared" si="0"/>
        <v>0</v>
      </c>
      <c r="F15" s="70">
        <v>-1378.62</v>
      </c>
      <c r="G15" s="50">
        <v>-1378.62</v>
      </c>
      <c r="H15" s="77">
        <f t="shared" si="1"/>
        <v>0</v>
      </c>
      <c r="I15" s="70">
        <v>-290.95999999999998</v>
      </c>
      <c r="J15" s="50">
        <v>-290.95999999999998</v>
      </c>
      <c r="K15" s="77">
        <f t="shared" si="2"/>
        <v>0</v>
      </c>
    </row>
    <row r="16" spans="2:11" x14ac:dyDescent="0.3">
      <c r="B16" s="44" t="s">
        <v>38</v>
      </c>
      <c r="C16" s="70">
        <v>-1141.76</v>
      </c>
      <c r="D16" s="50">
        <v>-1141.76</v>
      </c>
      <c r="E16" s="77">
        <f t="shared" si="0"/>
        <v>0</v>
      </c>
      <c r="F16" s="70">
        <v>-1858.51</v>
      </c>
      <c r="G16" s="50">
        <v>-1858.51</v>
      </c>
      <c r="H16" s="77">
        <f t="shared" si="1"/>
        <v>0</v>
      </c>
      <c r="I16" s="70">
        <v>-265.61</v>
      </c>
      <c r="J16" s="50">
        <v>-265.61</v>
      </c>
      <c r="K16" s="77">
        <f t="shared" si="2"/>
        <v>0</v>
      </c>
    </row>
    <row r="17" spans="2:11" x14ac:dyDescent="0.3">
      <c r="B17" s="44" t="s">
        <v>39</v>
      </c>
      <c r="C17" s="70">
        <v>-1048.71</v>
      </c>
      <c r="D17" s="50">
        <v>-1048.71</v>
      </c>
      <c r="E17" s="77">
        <f t="shared" si="0"/>
        <v>0</v>
      </c>
      <c r="F17" s="70">
        <v>-1660.77</v>
      </c>
      <c r="G17" s="50">
        <v>-1660.77</v>
      </c>
      <c r="H17" s="77">
        <f t="shared" si="1"/>
        <v>0</v>
      </c>
      <c r="I17" s="70">
        <v>-237.77</v>
      </c>
      <c r="J17" s="50">
        <v>-237.77</v>
      </c>
      <c r="K17" s="77">
        <f t="shared" si="2"/>
        <v>0</v>
      </c>
    </row>
    <row r="18" spans="2:11" x14ac:dyDescent="0.3">
      <c r="B18" s="44" t="s">
        <v>40</v>
      </c>
      <c r="C18" s="70">
        <v>-1121.06</v>
      </c>
      <c r="D18" s="50">
        <v>-1121.06</v>
      </c>
      <c r="E18" s="77">
        <f t="shared" si="0"/>
        <v>0</v>
      </c>
      <c r="F18" s="70">
        <v>-1722.91</v>
      </c>
      <c r="G18" s="50">
        <v>-1722.91</v>
      </c>
      <c r="H18" s="77">
        <f t="shared" si="1"/>
        <v>0</v>
      </c>
      <c r="I18" s="70">
        <v>-41.8</v>
      </c>
      <c r="J18" s="50">
        <v>-41.8</v>
      </c>
      <c r="K18" s="77">
        <f t="shared" si="2"/>
        <v>0</v>
      </c>
    </row>
    <row r="19" spans="2:11" x14ac:dyDescent="0.3">
      <c r="B19" s="44" t="s">
        <v>41</v>
      </c>
      <c r="C19" s="70">
        <v>-905.47</v>
      </c>
      <c r="D19" s="50">
        <v>-905.47</v>
      </c>
      <c r="E19" s="77">
        <f t="shared" si="0"/>
        <v>0</v>
      </c>
      <c r="F19" s="70">
        <v>-1770.09</v>
      </c>
      <c r="G19" s="50">
        <v>-1770.09</v>
      </c>
      <c r="H19" s="77">
        <f t="shared" si="1"/>
        <v>0</v>
      </c>
      <c r="I19" s="70">
        <v>0</v>
      </c>
      <c r="J19" s="50">
        <v>0</v>
      </c>
      <c r="K19" s="77">
        <f t="shared" si="2"/>
        <v>0</v>
      </c>
    </row>
    <row r="20" spans="2:11" x14ac:dyDescent="0.3">
      <c r="B20" s="52" t="s">
        <v>109</v>
      </c>
      <c r="C20" s="53">
        <f>SUM(C7:C19)</f>
        <v>-11803.009999999998</v>
      </c>
      <c r="D20" s="53">
        <f>SUM(D7:D19)</f>
        <v>-11802.96</v>
      </c>
      <c r="E20" s="63">
        <f t="shared" si="0"/>
        <v>4.9999999999272404E-2</v>
      </c>
      <c r="F20" s="53">
        <f>SUM(F7:F19)</f>
        <v>-28175.16</v>
      </c>
      <c r="G20" s="53">
        <f>SUM(G7:G19)</f>
        <v>-28175.16</v>
      </c>
      <c r="H20" s="63">
        <f t="shared" si="1"/>
        <v>0</v>
      </c>
      <c r="I20" s="53">
        <f>SUM(I7:I19)</f>
        <v>-2548.6600000000003</v>
      </c>
      <c r="J20" s="53">
        <f>SUM(J7:J19)</f>
        <v>-2548.6600000000003</v>
      </c>
      <c r="K20" s="63">
        <f t="shared" si="2"/>
        <v>0</v>
      </c>
    </row>
    <row r="21" spans="2:11" x14ac:dyDescent="0.3">
      <c r="B21" s="11" t="s">
        <v>294</v>
      </c>
      <c r="C21" s="11"/>
      <c r="D21" s="11"/>
      <c r="E21" s="11"/>
      <c r="F21" s="11"/>
      <c r="G21" s="11"/>
      <c r="H21" s="11"/>
      <c r="I21" s="11"/>
      <c r="J21" s="11"/>
      <c r="K21" s="11"/>
    </row>
    <row r="22" spans="2:1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4" spans="2:11" x14ac:dyDescent="0.3">
      <c r="B24" s="3" t="s">
        <v>295</v>
      </c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3">
      <c r="B25" s="11" t="s">
        <v>296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2:1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 ht="30" customHeight="1" x14ac:dyDescent="0.3">
      <c r="B27" s="78" t="s">
        <v>145</v>
      </c>
      <c r="C27" s="79" t="s">
        <v>297</v>
      </c>
      <c r="D27" s="79" t="s">
        <v>298</v>
      </c>
      <c r="E27" s="79" t="s">
        <v>299</v>
      </c>
      <c r="F27" s="79" t="s">
        <v>300</v>
      </c>
      <c r="G27" s="79" t="s">
        <v>301</v>
      </c>
      <c r="H27" s="79" t="s">
        <v>302</v>
      </c>
      <c r="I27" s="79" t="s">
        <v>303</v>
      </c>
      <c r="J27" s="79" t="s">
        <v>304</v>
      </c>
      <c r="K27" s="79" t="s">
        <v>305</v>
      </c>
    </row>
    <row r="28" spans="2:11" x14ac:dyDescent="0.3">
      <c r="B28" s="44" t="s">
        <v>29</v>
      </c>
      <c r="C28" s="70">
        <v>-50.45</v>
      </c>
      <c r="D28" s="70">
        <v>0.12</v>
      </c>
      <c r="E28" s="70">
        <v>-30</v>
      </c>
      <c r="F28" s="70">
        <v>-60</v>
      </c>
      <c r="G28" s="70">
        <v>-39.96</v>
      </c>
      <c r="H28" s="70">
        <v>-1.04</v>
      </c>
      <c r="I28" s="70">
        <v>0</v>
      </c>
      <c r="J28" s="70">
        <v>0</v>
      </c>
      <c r="K28" s="53">
        <f t="shared" ref="K28:K40" si="3">SUM(C28:J28)</f>
        <v>-181.33</v>
      </c>
    </row>
    <row r="29" spans="2:11" x14ac:dyDescent="0.3">
      <c r="B29" s="44" t="s">
        <v>30</v>
      </c>
      <c r="C29" s="70">
        <v>-50.05</v>
      </c>
      <c r="D29" s="70">
        <v>0.14000000000000001</v>
      </c>
      <c r="E29" s="70">
        <v>-30</v>
      </c>
      <c r="F29" s="70">
        <v>-34.67</v>
      </c>
      <c r="G29" s="70">
        <v>0</v>
      </c>
      <c r="H29" s="70">
        <v>-0.52</v>
      </c>
      <c r="I29" s="70">
        <v>0</v>
      </c>
      <c r="J29" s="70">
        <v>0</v>
      </c>
      <c r="K29" s="53">
        <f t="shared" si="3"/>
        <v>-115.1</v>
      </c>
    </row>
    <row r="30" spans="2:11" x14ac:dyDescent="0.3">
      <c r="B30" s="44" t="s">
        <v>31</v>
      </c>
      <c r="C30" s="70">
        <v>-34.96</v>
      </c>
      <c r="D30" s="70">
        <v>0.08</v>
      </c>
      <c r="E30" s="70">
        <v>-30</v>
      </c>
      <c r="F30" s="70">
        <v>0</v>
      </c>
      <c r="G30" s="70">
        <v>0</v>
      </c>
      <c r="H30" s="70">
        <v>-0.79</v>
      </c>
      <c r="I30" s="70">
        <v>0</v>
      </c>
      <c r="J30" s="70">
        <v>0</v>
      </c>
      <c r="K30" s="53">
        <f t="shared" si="3"/>
        <v>-65.67</v>
      </c>
    </row>
    <row r="31" spans="2:11" x14ac:dyDescent="0.3">
      <c r="B31" s="44" t="s">
        <v>32</v>
      </c>
      <c r="C31" s="70">
        <v>-66.08</v>
      </c>
      <c r="D31" s="70">
        <v>0.18</v>
      </c>
      <c r="E31" s="70">
        <v>-30</v>
      </c>
      <c r="F31" s="70">
        <v>-10.07</v>
      </c>
      <c r="G31" s="70">
        <v>0</v>
      </c>
      <c r="H31" s="70">
        <v>-1.07</v>
      </c>
      <c r="I31" s="70">
        <v>0</v>
      </c>
      <c r="J31" s="70">
        <v>0</v>
      </c>
      <c r="K31" s="53">
        <f t="shared" si="3"/>
        <v>-107.03999999999999</v>
      </c>
    </row>
    <row r="32" spans="2:11" x14ac:dyDescent="0.3">
      <c r="B32" s="44" t="s">
        <v>33</v>
      </c>
      <c r="C32" s="70">
        <v>-45.97</v>
      </c>
      <c r="D32" s="70">
        <v>0.16</v>
      </c>
      <c r="E32" s="70">
        <v>-30</v>
      </c>
      <c r="F32" s="70">
        <v>-109.19</v>
      </c>
      <c r="G32" s="70">
        <v>0</v>
      </c>
      <c r="H32" s="70">
        <v>-0.96</v>
      </c>
      <c r="I32" s="70">
        <v>-9.5500000000000007</v>
      </c>
      <c r="J32" s="70">
        <v>-13.33</v>
      </c>
      <c r="K32" s="53">
        <f t="shared" si="3"/>
        <v>-208.84000000000003</v>
      </c>
    </row>
    <row r="33" spans="2:11" x14ac:dyDescent="0.3">
      <c r="B33" s="44" t="s">
        <v>34</v>
      </c>
      <c r="C33" s="70">
        <v>-100.48</v>
      </c>
      <c r="D33" s="70">
        <v>0.55000000000000004</v>
      </c>
      <c r="E33" s="70">
        <v>-30</v>
      </c>
      <c r="F33" s="70">
        <v>-34.57</v>
      </c>
      <c r="G33" s="70">
        <v>0</v>
      </c>
      <c r="H33" s="70">
        <v>-4.42</v>
      </c>
      <c r="I33" s="70">
        <v>-3.28</v>
      </c>
      <c r="J33" s="70">
        <v>0</v>
      </c>
      <c r="K33" s="53">
        <f t="shared" si="3"/>
        <v>-172.2</v>
      </c>
    </row>
    <row r="34" spans="2:11" x14ac:dyDescent="0.3">
      <c r="B34" s="44" t="s">
        <v>35</v>
      </c>
      <c r="C34" s="70">
        <v>-153.9</v>
      </c>
      <c r="D34" s="70">
        <v>1.1499999999999999</v>
      </c>
      <c r="E34" s="70">
        <v>-30</v>
      </c>
      <c r="F34" s="70">
        <v>0</v>
      </c>
      <c r="G34" s="70">
        <v>0</v>
      </c>
      <c r="H34" s="70">
        <v>-10.92</v>
      </c>
      <c r="I34" s="70">
        <v>0</v>
      </c>
      <c r="J34" s="70">
        <v>-1.1299999999999999</v>
      </c>
      <c r="K34" s="53">
        <f t="shared" si="3"/>
        <v>-194.79999999999998</v>
      </c>
    </row>
    <row r="35" spans="2:11" x14ac:dyDescent="0.3">
      <c r="B35" s="44" t="s">
        <v>36</v>
      </c>
      <c r="C35" s="70">
        <v>-34.29</v>
      </c>
      <c r="D35" s="70">
        <v>0.68</v>
      </c>
      <c r="E35" s="70">
        <v>-30</v>
      </c>
      <c r="F35" s="70">
        <v>0</v>
      </c>
      <c r="G35" s="70">
        <v>0</v>
      </c>
      <c r="H35" s="70">
        <v>-6.59</v>
      </c>
      <c r="I35" s="70">
        <v>0</v>
      </c>
      <c r="J35" s="70">
        <v>0</v>
      </c>
      <c r="K35" s="53">
        <f t="shared" si="3"/>
        <v>-70.2</v>
      </c>
    </row>
    <row r="36" spans="2:11" x14ac:dyDescent="0.3">
      <c r="B36" s="44" t="s">
        <v>37</v>
      </c>
      <c r="C36" s="70">
        <v>-29.83</v>
      </c>
      <c r="D36" s="70">
        <v>0.06</v>
      </c>
      <c r="E36" s="70">
        <v>-30</v>
      </c>
      <c r="F36" s="70">
        <v>-83.22</v>
      </c>
      <c r="G36" s="70">
        <v>0</v>
      </c>
      <c r="H36" s="70">
        <v>-0.47</v>
      </c>
      <c r="I36" s="70">
        <v>0</v>
      </c>
      <c r="J36" s="70">
        <v>-6.91</v>
      </c>
      <c r="K36" s="53">
        <f t="shared" si="3"/>
        <v>-150.37</v>
      </c>
    </row>
    <row r="37" spans="2:11" x14ac:dyDescent="0.3">
      <c r="B37" s="44" t="s">
        <v>38</v>
      </c>
      <c r="C37" s="70">
        <v>-59.51</v>
      </c>
      <c r="D37" s="70">
        <v>0.56999999999999995</v>
      </c>
      <c r="E37" s="70">
        <v>-30</v>
      </c>
      <c r="F37" s="70">
        <v>-140.15</v>
      </c>
      <c r="G37" s="70">
        <v>0</v>
      </c>
      <c r="H37" s="70">
        <v>-5.7</v>
      </c>
      <c r="I37" s="70">
        <v>0</v>
      </c>
      <c r="J37" s="70">
        <v>0</v>
      </c>
      <c r="K37" s="53">
        <f t="shared" si="3"/>
        <v>-234.79</v>
      </c>
    </row>
    <row r="38" spans="2:11" x14ac:dyDescent="0.3">
      <c r="B38" s="44" t="s">
        <v>39</v>
      </c>
      <c r="C38" s="70">
        <v>-54.09</v>
      </c>
      <c r="D38" s="70">
        <v>0.56000000000000005</v>
      </c>
      <c r="E38" s="70">
        <v>-30</v>
      </c>
      <c r="F38" s="70">
        <v>-118.92</v>
      </c>
      <c r="G38" s="70">
        <v>0</v>
      </c>
      <c r="H38" s="70">
        <v>-3.95</v>
      </c>
      <c r="I38" s="70">
        <v>0</v>
      </c>
      <c r="J38" s="70">
        <v>0</v>
      </c>
      <c r="K38" s="53">
        <f t="shared" si="3"/>
        <v>-206.39999999999998</v>
      </c>
    </row>
    <row r="39" spans="2:11" x14ac:dyDescent="0.3">
      <c r="B39" s="44" t="s">
        <v>40</v>
      </c>
      <c r="C39" s="70">
        <v>-53.76</v>
      </c>
      <c r="D39" s="70">
        <v>0.27</v>
      </c>
      <c r="E39" s="70">
        <v>-30</v>
      </c>
      <c r="F39" s="70">
        <v>-75.459999999999994</v>
      </c>
      <c r="G39" s="70">
        <v>0</v>
      </c>
      <c r="H39" s="70">
        <v>-1.22</v>
      </c>
      <c r="I39" s="70">
        <v>0</v>
      </c>
      <c r="J39" s="70">
        <v>0</v>
      </c>
      <c r="K39" s="53">
        <f t="shared" si="3"/>
        <v>-160.16999999999999</v>
      </c>
    </row>
    <row r="40" spans="2:11" x14ac:dyDescent="0.3">
      <c r="B40" s="44" t="s">
        <v>41</v>
      </c>
      <c r="C40" s="70">
        <v>-51.84</v>
      </c>
      <c r="D40" s="70">
        <v>0.2</v>
      </c>
      <c r="E40" s="70">
        <v>-30</v>
      </c>
      <c r="F40" s="70">
        <v>-31.7</v>
      </c>
      <c r="G40" s="70">
        <v>0</v>
      </c>
      <c r="H40" s="70">
        <v>-1.84</v>
      </c>
      <c r="I40" s="70">
        <v>-15.36</v>
      </c>
      <c r="J40" s="70">
        <v>0</v>
      </c>
      <c r="K40" s="53">
        <f t="shared" si="3"/>
        <v>-130.54000000000002</v>
      </c>
    </row>
    <row r="41" spans="2:11" x14ac:dyDescent="0.3">
      <c r="B41" s="52" t="s">
        <v>109</v>
      </c>
      <c r="C41" s="53">
        <f t="shared" ref="C41:K41" si="4">SUM(C28:C40)</f>
        <v>-785.21</v>
      </c>
      <c r="D41" s="53">
        <f t="shared" si="4"/>
        <v>4.72</v>
      </c>
      <c r="E41" s="53">
        <f t="shared" si="4"/>
        <v>-390</v>
      </c>
      <c r="F41" s="53">
        <f t="shared" si="4"/>
        <v>-697.95</v>
      </c>
      <c r="G41" s="53">
        <f t="shared" si="4"/>
        <v>-39.96</v>
      </c>
      <c r="H41" s="53">
        <f t="shared" si="4"/>
        <v>-39.49</v>
      </c>
      <c r="I41" s="53">
        <f t="shared" si="4"/>
        <v>-28.189999999999998</v>
      </c>
      <c r="J41" s="53">
        <f t="shared" si="4"/>
        <v>-21.37</v>
      </c>
      <c r="K41" s="53">
        <f t="shared" si="4"/>
        <v>-1997.4500000000003</v>
      </c>
    </row>
  </sheetData>
  <mergeCells count="8">
    <mergeCell ref="B21:K22"/>
    <mergeCell ref="B24:K24"/>
    <mergeCell ref="B25:K26"/>
    <mergeCell ref="B2:K2"/>
    <mergeCell ref="B3:K3"/>
    <mergeCell ref="C5:E5"/>
    <mergeCell ref="F5:H5"/>
    <mergeCell ref="I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showGridLines="0" zoomScaleNormal="100" workbookViewId="0">
      <selection activeCell="G1" sqref="G1"/>
    </sheetView>
  </sheetViews>
  <sheetFormatPr defaultColWidth="8.6640625" defaultRowHeight="14.4" x14ac:dyDescent="0.3"/>
  <cols>
    <col min="1" max="1" width="3" customWidth="1"/>
    <col min="2" max="2" width="38" customWidth="1"/>
    <col min="3" max="3" width="15" customWidth="1"/>
    <col min="4" max="4" width="12.21875" customWidth="1"/>
    <col min="5" max="5" width="24" customWidth="1"/>
    <col min="6" max="8" width="13" customWidth="1"/>
  </cols>
  <sheetData>
    <row r="2" spans="2:8" ht="24" customHeight="1" x14ac:dyDescent="0.3">
      <c r="B2" s="2" t="s">
        <v>306</v>
      </c>
      <c r="C2" s="2"/>
      <c r="D2" s="2"/>
      <c r="E2" s="2"/>
      <c r="F2" s="2"/>
      <c r="G2" s="2"/>
      <c r="H2" s="2"/>
    </row>
    <row r="4" spans="2:8" ht="15.6" x14ac:dyDescent="0.3">
      <c r="B4" s="21" t="s">
        <v>307</v>
      </c>
      <c r="E4" s="19" t="s">
        <v>308</v>
      </c>
    </row>
    <row r="5" spans="2:8" x14ac:dyDescent="0.3">
      <c r="B5" s="44" t="s">
        <v>309</v>
      </c>
      <c r="C5" s="80">
        <f>'P&amp;L (from PDFs)'!O9</f>
        <v>106689.65999999999</v>
      </c>
      <c r="E5" s="44" t="s">
        <v>309</v>
      </c>
      <c r="F5" s="70">
        <f>'P&amp;L (from PDFs)'!O9</f>
        <v>106689.65999999999</v>
      </c>
    </row>
    <row r="6" spans="2:8" x14ac:dyDescent="0.3">
      <c r="B6" s="44" t="s">
        <v>310</v>
      </c>
      <c r="C6" s="81">
        <f>'P&amp;L (from PDFs)'!O30</f>
        <v>8503</v>
      </c>
      <c r="E6" s="44" t="s">
        <v>311</v>
      </c>
      <c r="F6" s="70">
        <f>'P&amp;L (from PDFs)'!O20</f>
        <v>-41512.989999999991</v>
      </c>
    </row>
    <row r="7" spans="2:8" x14ac:dyDescent="0.3">
      <c r="B7" s="44" t="s">
        <v>312</v>
      </c>
      <c r="C7" s="82">
        <f>'P&amp;L (from PDFs)'!O31</f>
        <v>12.564499588380574</v>
      </c>
      <c r="E7" s="44" t="s">
        <v>313</v>
      </c>
      <c r="F7" s="70">
        <f>'P&amp;L (from PDFs)'!O25</f>
        <v>-18661.900000000001</v>
      </c>
    </row>
    <row r="8" spans="2:8" x14ac:dyDescent="0.3">
      <c r="B8" s="44" t="s">
        <v>314</v>
      </c>
      <c r="C8" s="80">
        <f>'P&amp;L (from PDFs)'!O20</f>
        <v>-41512.989999999991</v>
      </c>
      <c r="E8" s="44" t="s">
        <v>315</v>
      </c>
      <c r="F8" s="70">
        <f>'P&amp;L (from PDFs)'!O32</f>
        <v>-27290.420000000002</v>
      </c>
    </row>
    <row r="9" spans="2:8" x14ac:dyDescent="0.3">
      <c r="B9" s="44" t="s">
        <v>316</v>
      </c>
      <c r="C9" s="80">
        <f>'P&amp;L (from PDFs)'!O25</f>
        <v>-18661.900000000001</v>
      </c>
      <c r="E9" s="44" t="s">
        <v>317</v>
      </c>
      <c r="F9" s="70">
        <f>'P&amp;L (from PDFs)'!O33</f>
        <v>0</v>
      </c>
    </row>
    <row r="10" spans="2:8" x14ac:dyDescent="0.3">
      <c r="B10" s="44" t="s">
        <v>318</v>
      </c>
      <c r="C10" s="80">
        <f>'P&amp;L (from PDFs)'!O32</f>
        <v>-27290.420000000002</v>
      </c>
      <c r="E10" s="83" t="s">
        <v>319</v>
      </c>
      <c r="F10" s="80">
        <f>'P&amp;L (from PDFs)'!O34</f>
        <v>19224.350000000006</v>
      </c>
    </row>
    <row r="11" spans="2:8" x14ac:dyDescent="0.3">
      <c r="B11" s="44" t="s">
        <v>320</v>
      </c>
      <c r="C11" s="84">
        <f>'P&amp;L (from PDFs)'!O37</f>
        <v>0.17491760682337917</v>
      </c>
      <c r="E11" s="44" t="s">
        <v>321</v>
      </c>
      <c r="F11" s="85">
        <f>'P&amp;L (from PDFs)'!O41</f>
        <v>0.18018943916402028</v>
      </c>
    </row>
    <row r="12" spans="2:8" x14ac:dyDescent="0.3">
      <c r="B12" s="44" t="s">
        <v>322</v>
      </c>
      <c r="C12" s="84">
        <f>'P&amp;L (from PDFs)'!O38</f>
        <v>1.7382352792515324E-2</v>
      </c>
      <c r="E12" s="44" t="s">
        <v>323</v>
      </c>
      <c r="F12" s="86">
        <f>'P&amp;L (from PDFs)'!B45</f>
        <v>3.2095048806303659</v>
      </c>
    </row>
    <row r="13" spans="2:8" x14ac:dyDescent="0.3">
      <c r="B13" s="44" t="s">
        <v>324</v>
      </c>
      <c r="C13" s="80">
        <f>'P&amp;L (from PDFs)'!P9</f>
        <v>8890.8049999999985</v>
      </c>
    </row>
    <row r="15" spans="2:8" ht="15.6" x14ac:dyDescent="0.3">
      <c r="B15" s="21" t="s">
        <v>325</v>
      </c>
      <c r="E15" s="21" t="s">
        <v>326</v>
      </c>
    </row>
    <row r="16" spans="2:8" x14ac:dyDescent="0.3">
      <c r="B16" s="47" t="s">
        <v>327</v>
      </c>
      <c r="E16" s="44" t="s">
        <v>328</v>
      </c>
      <c r="F16" s="70">
        <f>'P&amp;L (from PDFs)'!B9</f>
        <v>6513.2299999999987</v>
      </c>
    </row>
    <row r="17" spans="2:6" x14ac:dyDescent="0.3">
      <c r="B17" s="87" t="s">
        <v>329</v>
      </c>
      <c r="C17" s="87" t="s">
        <v>330</v>
      </c>
      <c r="D17" s="87" t="s">
        <v>331</v>
      </c>
      <c r="E17" s="44" t="s">
        <v>332</v>
      </c>
      <c r="F17" s="70">
        <f>'P&amp;L (from PDFs)'!N9</f>
        <v>6143.81</v>
      </c>
    </row>
    <row r="18" spans="2:6" x14ac:dyDescent="0.3">
      <c r="B18" s="88">
        <v>3.3</v>
      </c>
      <c r="C18" s="62">
        <f>'P&amp;L (from PDFs)'!O9+'P&amp;L (from PDFs)'!O20+'P&amp;L (from PDFs)'!O25-'P&amp;L (from PDFs)'!O30*3.3</f>
        <v>18454.87</v>
      </c>
      <c r="D18" s="62">
        <f>'P&amp;L (from PDFs)'!O9+'P&amp;L (from PDFs)'!O20+'P&amp;L (from PDFs)'!O25-'P&amp;L (from PDFs)'!O30*3.3-'P&amp;L (from PDFs)'!O9/6</f>
        <v>673.26000000000204</v>
      </c>
      <c r="E18" s="83" t="s">
        <v>333</v>
      </c>
      <c r="F18" s="57">
        <f>IFERROR((F17-F16)/F16,0)</f>
        <v>-5.6718402390211663E-2</v>
      </c>
    </row>
    <row r="19" spans="2:6" x14ac:dyDescent="0.3">
      <c r="B19" s="88">
        <v>4.5</v>
      </c>
      <c r="C19" s="62">
        <f>'P&amp;L (from PDFs)'!O9+'P&amp;L (from PDFs)'!O20+'P&amp;L (from PDFs)'!O25-'P&amp;L (from PDFs)'!O30*4.5</f>
        <v>8251.2699999999968</v>
      </c>
      <c r="D19" s="62">
        <f>'P&amp;L (from PDFs)'!O9+'P&amp;L (from PDFs)'!O20+'P&amp;L (from PDFs)'!O25-'P&amp;L (from PDFs)'!O30*4.5-'P&amp;L (from PDFs)'!O9/6</f>
        <v>-9530.34</v>
      </c>
    </row>
    <row r="20" spans="2:6" ht="15.6" x14ac:dyDescent="0.3">
      <c r="B20" s="88">
        <v>6.5</v>
      </c>
      <c r="C20" s="62">
        <f>'P&amp;L (from PDFs)'!O9+'P&amp;L (from PDFs)'!O20+'P&amp;L (from PDFs)'!O25-'P&amp;L (from PDFs)'!O30*6.5</f>
        <v>-8754.7300000000032</v>
      </c>
      <c r="D20" s="62">
        <f>'P&amp;L (from PDFs)'!O9+'P&amp;L (from PDFs)'!O20+'P&amp;L (from PDFs)'!O25-'P&amp;L (from PDFs)'!O30*6.5-'P&amp;L (from PDFs)'!O9/6</f>
        <v>-26536.34</v>
      </c>
      <c r="E20" s="21" t="s">
        <v>112</v>
      </c>
    </row>
    <row r="21" spans="2:6" x14ac:dyDescent="0.3">
      <c r="B21" s="11" t="s">
        <v>334</v>
      </c>
      <c r="C21" s="11"/>
      <c r="D21" s="11"/>
      <c r="E21" s="44" t="s">
        <v>335</v>
      </c>
      <c r="F21" s="51">
        <v>0.21</v>
      </c>
    </row>
    <row r="22" spans="2:6" x14ac:dyDescent="0.3">
      <c r="B22" s="11"/>
      <c r="C22" s="11"/>
      <c r="D22" s="11"/>
      <c r="E22" s="44" t="s">
        <v>336</v>
      </c>
      <c r="F22" s="51">
        <v>0.69199999999999995</v>
      </c>
    </row>
    <row r="23" spans="2:6" x14ac:dyDescent="0.3">
      <c r="E23" s="44" t="s">
        <v>337</v>
      </c>
      <c r="F23" s="51">
        <v>0.82299999999999995</v>
      </c>
    </row>
  </sheetData>
  <mergeCells count="2">
    <mergeCell ref="B2:H2"/>
    <mergeCell ref="B21:D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O1"/>
    </sheetView>
  </sheetViews>
  <sheetFormatPr defaultColWidth="8.6640625" defaultRowHeight="14.4" x14ac:dyDescent="0.3"/>
  <cols>
    <col min="1" max="1" width="34" customWidth="1"/>
    <col min="2" max="14" width="10.5546875" customWidth="1"/>
    <col min="15" max="15" width="13" customWidth="1"/>
  </cols>
  <sheetData>
    <row r="1" spans="1:15" ht="21.75" customHeight="1" x14ac:dyDescent="0.3">
      <c r="A1" s="12" t="s">
        <v>338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3">
      <c r="A2" s="11" t="s">
        <v>339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23" t="s">
        <v>340</v>
      </c>
      <c r="B3" s="24" t="s">
        <v>29</v>
      </c>
      <c r="C3" s="24" t="s">
        <v>30</v>
      </c>
      <c r="D3" s="24" t="s">
        <v>31</v>
      </c>
      <c r="E3" s="24" t="s">
        <v>32</v>
      </c>
      <c r="F3" s="24" t="s">
        <v>33</v>
      </c>
      <c r="G3" s="24" t="s">
        <v>34</v>
      </c>
      <c r="H3" s="24" t="s">
        <v>35</v>
      </c>
      <c r="I3" s="24" t="s">
        <v>36</v>
      </c>
      <c r="J3" s="24" t="s">
        <v>37</v>
      </c>
      <c r="K3" s="24" t="s">
        <v>38</v>
      </c>
      <c r="L3" s="24" t="s">
        <v>39</v>
      </c>
      <c r="M3" s="24" t="s">
        <v>40</v>
      </c>
      <c r="N3" s="24" t="s">
        <v>41</v>
      </c>
      <c r="O3" s="24" t="s">
        <v>42</v>
      </c>
    </row>
    <row r="4" spans="1:15" x14ac:dyDescent="0.3">
      <c r="A4" s="27" t="s">
        <v>341</v>
      </c>
      <c r="B4" s="89">
        <v>11</v>
      </c>
      <c r="C4" s="89">
        <v>16</v>
      </c>
      <c r="D4" s="89">
        <v>15</v>
      </c>
      <c r="E4" s="89">
        <v>19</v>
      </c>
      <c r="F4" s="89">
        <v>20</v>
      </c>
      <c r="G4" s="89">
        <v>19</v>
      </c>
      <c r="H4" s="89">
        <v>18</v>
      </c>
      <c r="I4" s="89">
        <v>17</v>
      </c>
      <c r="J4" s="89">
        <v>17</v>
      </c>
      <c r="K4" s="89">
        <v>17</v>
      </c>
      <c r="L4" s="89">
        <v>17</v>
      </c>
      <c r="M4" s="89">
        <v>19</v>
      </c>
      <c r="N4" s="89">
        <v>21</v>
      </c>
      <c r="O4" s="90" t="s">
        <v>342</v>
      </c>
    </row>
    <row r="5" spans="1:15" x14ac:dyDescent="0.3">
      <c r="A5" s="27" t="s">
        <v>343</v>
      </c>
      <c r="B5" s="36">
        <v>3770</v>
      </c>
      <c r="C5" s="36">
        <v>4227</v>
      </c>
      <c r="D5" s="36">
        <v>3558</v>
      </c>
      <c r="E5" s="36">
        <v>5194</v>
      </c>
      <c r="F5" s="36">
        <v>5165</v>
      </c>
      <c r="G5" s="36">
        <v>7152</v>
      </c>
      <c r="H5" s="36">
        <v>7518</v>
      </c>
      <c r="I5" s="36">
        <v>4195</v>
      </c>
      <c r="J5" s="36">
        <v>3189</v>
      </c>
      <c r="K5" s="36">
        <v>4011</v>
      </c>
      <c r="L5" s="36">
        <v>3612</v>
      </c>
      <c r="M5" s="36">
        <v>3803</v>
      </c>
      <c r="N5" s="36">
        <v>4429</v>
      </c>
      <c r="O5" s="91">
        <f>SUM(C5:N5)</f>
        <v>56053</v>
      </c>
    </row>
    <row r="6" spans="1:15" x14ac:dyDescent="0.3">
      <c r="A6" s="27" t="s">
        <v>344</v>
      </c>
      <c r="B6" s="36">
        <v>5438</v>
      </c>
      <c r="C6" s="36">
        <v>6007</v>
      </c>
      <c r="D6" s="36">
        <v>4786</v>
      </c>
      <c r="E6" s="36">
        <v>6969</v>
      </c>
      <c r="F6" s="36">
        <v>6982</v>
      </c>
      <c r="G6" s="36">
        <v>9637</v>
      </c>
      <c r="H6" s="36">
        <v>10404</v>
      </c>
      <c r="I6" s="36">
        <v>5723</v>
      </c>
      <c r="J6" s="36">
        <v>4250</v>
      </c>
      <c r="K6" s="36">
        <v>5534</v>
      </c>
      <c r="L6" s="36">
        <v>4868</v>
      </c>
      <c r="M6" s="36">
        <v>5013</v>
      </c>
      <c r="N6" s="36">
        <v>5973</v>
      </c>
      <c r="O6" s="91">
        <f>SUM(C6:N6)</f>
        <v>76146</v>
      </c>
    </row>
    <row r="7" spans="1:15" x14ac:dyDescent="0.3">
      <c r="A7" s="27" t="s">
        <v>345</v>
      </c>
      <c r="B7" s="36">
        <v>497</v>
      </c>
      <c r="C7" s="36">
        <v>672</v>
      </c>
      <c r="D7" s="36">
        <v>613</v>
      </c>
      <c r="E7" s="36">
        <v>788</v>
      </c>
      <c r="F7" s="36">
        <v>760</v>
      </c>
      <c r="G7" s="36">
        <v>1184</v>
      </c>
      <c r="H7" s="36">
        <v>1457</v>
      </c>
      <c r="I7" s="36">
        <v>604</v>
      </c>
      <c r="J7" s="36">
        <v>462</v>
      </c>
      <c r="K7" s="36">
        <v>573</v>
      </c>
      <c r="L7" s="36">
        <v>445</v>
      </c>
      <c r="M7" s="36">
        <v>471</v>
      </c>
      <c r="N7" s="36">
        <v>626</v>
      </c>
      <c r="O7" s="91">
        <f>SUM(C7:N7)</f>
        <v>8655</v>
      </c>
    </row>
    <row r="8" spans="1:15" x14ac:dyDescent="0.3">
      <c r="A8" s="27" t="s">
        <v>346</v>
      </c>
      <c r="B8" s="41">
        <f t="shared" ref="B8:O8" si="0">IFERROR(B7/B5,0)</f>
        <v>0.13183023872679045</v>
      </c>
      <c r="C8" s="41">
        <f t="shared" si="0"/>
        <v>0.15897799858055359</v>
      </c>
      <c r="D8" s="41">
        <f t="shared" si="0"/>
        <v>0.17228780213603148</v>
      </c>
      <c r="E8" s="41">
        <f t="shared" si="0"/>
        <v>0.15171351559491722</v>
      </c>
      <c r="F8" s="41">
        <f t="shared" si="0"/>
        <v>0.14714424007744434</v>
      </c>
      <c r="G8" s="41">
        <f t="shared" si="0"/>
        <v>0.16554809843400448</v>
      </c>
      <c r="H8" s="41">
        <f t="shared" si="0"/>
        <v>0.19380154296355415</v>
      </c>
      <c r="I8" s="41">
        <f t="shared" si="0"/>
        <v>0.14398092967818832</v>
      </c>
      <c r="J8" s="41">
        <f t="shared" si="0"/>
        <v>0.14487300094073377</v>
      </c>
      <c r="K8" s="41">
        <f t="shared" si="0"/>
        <v>0.14285714285714285</v>
      </c>
      <c r="L8" s="41">
        <f t="shared" si="0"/>
        <v>0.12320044296788484</v>
      </c>
      <c r="M8" s="41">
        <f t="shared" si="0"/>
        <v>0.12384959242703129</v>
      </c>
      <c r="N8" s="41">
        <f t="shared" si="0"/>
        <v>0.14134116053285167</v>
      </c>
      <c r="O8" s="42">
        <f t="shared" si="0"/>
        <v>0.15440743581967067</v>
      </c>
    </row>
    <row r="9" spans="1:15" x14ac:dyDescent="0.3">
      <c r="A9" s="27" t="s">
        <v>347</v>
      </c>
      <c r="B9" s="92">
        <v>0.999</v>
      </c>
      <c r="C9" s="92">
        <v>0.996</v>
      </c>
      <c r="D9" s="92">
        <v>0.996</v>
      </c>
      <c r="E9" s="92">
        <v>0.99199999999999999</v>
      </c>
      <c r="F9" s="92">
        <v>0.996</v>
      </c>
      <c r="G9" s="92">
        <v>0.99299999999999999</v>
      </c>
      <c r="H9" s="92">
        <v>0.99299999999999999</v>
      </c>
      <c r="I9" s="92">
        <v>0.99299999999999999</v>
      </c>
      <c r="J9" s="92">
        <v>0.99199999999999999</v>
      </c>
      <c r="K9" s="92">
        <v>0.98899999999999999</v>
      </c>
      <c r="L9" s="92">
        <v>0.99099999999999999</v>
      </c>
      <c r="M9" s="92">
        <v>0.98499999999999999</v>
      </c>
      <c r="N9" s="92">
        <v>0.92</v>
      </c>
      <c r="O9" s="90" t="s">
        <v>342</v>
      </c>
    </row>
    <row r="11" spans="1:15" x14ac:dyDescent="0.3">
      <c r="A11" s="65" t="s">
        <v>348</v>
      </c>
    </row>
    <row r="12" spans="1:15" ht="25.5" customHeight="1" x14ac:dyDescent="0.3">
      <c r="A12" s="1" t="s">
        <v>349</v>
      </c>
      <c r="B12" s="1"/>
      <c r="C12" s="1"/>
      <c r="D12" s="1"/>
      <c r="E12" s="1"/>
      <c r="F12" s="1"/>
      <c r="G12" s="1"/>
      <c r="H12" s="1"/>
    </row>
    <row r="13" spans="1:15" ht="25.5" customHeight="1" x14ac:dyDescent="0.3">
      <c r="A13" s="1" t="s">
        <v>350</v>
      </c>
      <c r="B13" s="1"/>
      <c r="C13" s="1"/>
      <c r="D13" s="1"/>
      <c r="E13" s="1"/>
      <c r="F13" s="1"/>
      <c r="G13" s="1"/>
      <c r="H13" s="1"/>
    </row>
    <row r="14" spans="1:15" ht="25.5" customHeight="1" x14ac:dyDescent="0.3">
      <c r="A14" s="1" t="s">
        <v>351</v>
      </c>
      <c r="B14" s="1"/>
      <c r="C14" s="1"/>
      <c r="D14" s="1"/>
      <c r="E14" s="1"/>
      <c r="F14" s="1"/>
      <c r="G14" s="1"/>
      <c r="H14" s="1"/>
    </row>
    <row r="15" spans="1:15" ht="25.5" customHeight="1" x14ac:dyDescent="0.3">
      <c r="A15" s="1" t="s">
        <v>352</v>
      </c>
      <c r="B15" s="1"/>
      <c r="C15" s="1"/>
      <c r="D15" s="1"/>
      <c r="E15" s="1"/>
      <c r="F15" s="1"/>
      <c r="G15" s="1"/>
      <c r="H15" s="1"/>
    </row>
  </sheetData>
  <mergeCells count="6">
    <mergeCell ref="A15:H15"/>
    <mergeCell ref="A1:O1"/>
    <mergeCell ref="A2:O2"/>
    <mergeCell ref="A12:H12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 &amp; Missing</vt:lpstr>
      <vt:lpstr>P&amp;L (from PDFs)</vt:lpstr>
      <vt:lpstr>SKU Concentration</vt:lpstr>
      <vt:lpstr>COGS Build</vt:lpstr>
      <vt:lpstr>PPC Invoices</vt:lpstr>
      <vt:lpstr>Fee Reconciliation</vt:lpstr>
      <vt:lpstr>Summary</vt:lpstr>
      <vt:lpstr>Traffic &amp;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ibri57@outlook.com</cp:lastModifiedBy>
  <cp:revision>1</cp:revision>
  <dcterms:created xsi:type="dcterms:W3CDTF">2026-07-30T21:08:52Z</dcterms:created>
  <dcterms:modified xsi:type="dcterms:W3CDTF">2026-07-30T21:17:34Z</dcterms:modified>
  <dc:language>en-US</dc:language>
</cp:coreProperties>
</file>