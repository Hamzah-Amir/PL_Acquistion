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Inputs_Monthly" sheetId="2" state="visible" r:id="rId4"/>
    <sheet name="Inputs_Units" sheetId="3" state="visible" r:id="rId5"/>
    <sheet name="Inputs_Traffic" sheetId="4" state="visible" r:id="rId6"/>
    <sheet name="P&amp;L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Enter the 'Income' total printed on the Summary PDF. The P&amp;L checks Net Sales against this.</t>
        </r>
      </text>
    </comment>
    <comment ref="Z1" authorId="0">
      <text>
        <r>
          <rPr>
            <sz val="10"/>
            <rFont val="Arial"/>
            <family val="2"/>
          </rPr>
          <t xml:space="preserve">Enter the 'Expenses' total printed on the Summary PDF. The P&amp;L checks fees+PPC against this.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5" authorId="0">
      <text>
        <r>
          <rPr>
            <sz val="10"/>
            <rFont val="Arial"/>
            <family val="2"/>
          </rPr>
          <t xml:space="preserve">0 = not registered -&gt; output VAT £0. 1 = apply output VAT (NetSales/6).</t>
        </r>
      </text>
    </comment>
  </commentList>
</comments>
</file>

<file path=xl/sharedStrings.xml><?xml version="1.0" encoding="utf-8"?>
<sst xmlns="http://schemas.openxmlformats.org/spreadsheetml/2006/main" count="171" uniqueCount="129">
  <si>
    <t xml:space="preserve">Amazon UK Acquisition P&amp;L — TEMPLATE</t>
  </si>
  <si>
    <t xml:space="preserve">Attach this workbook + the Workflow doc at the start of a new chat, upload the source files, and Claude fills it step by step.</t>
  </si>
  <si>
    <t xml:space="preserve">How this template works</t>
  </si>
  <si>
    <t xml:space="preserve">•  This template is INPUT-DRIVEN: fill the blue cells on the 'Inputs_*' tabs and the P&amp;L + Summary compute automatically.</t>
  </si>
  <si>
    <t xml:space="preserve">•  It is pre-filled with DUMMY data (same figures each month) purely to show the format — overwrite every blue cell with real data.</t>
  </si>
  <si>
    <t xml:space="preserve">•  Blue = input you fill · Black = formula (leave it) · Green = pulled from another tab · Yellow = editable assumption.</t>
  </si>
  <si>
    <t xml:space="preserve">•  The dummy data already reconciles (the two 'check: Difference' rows on the P&amp;L are 0) — keep them at 0 with real data too.</t>
  </si>
  <si>
    <t xml:space="preserve">What to put on each tab</t>
  </si>
  <si>
    <t xml:space="preserve">•  Inputs_Monthly — one row per month; every Income &amp; Expense line straight from the monthly Summary PDF (incl. the printed Income total &amp; Expenses total, used for the reconciliation checks).</t>
  </si>
  <si>
    <t xml:space="preserve">•  Inputs_Units — units sold per SKU per month (net = orders − refunds, from the transaction CSVs). Each SKU's £/unit references the editable COST RATE TABLE (right). Monthly COGS computes at the bottom.</t>
  </si>
  <si>
    <t xml:space="preserve">•  Inputs_Traffic — per month: sessions, page views, units ordered, Buy Box %, ASIN count (from Business Reports).</t>
  </si>
  <si>
    <t xml:space="preserve">•  Assumptions (on the P&amp;L) — VAT registered? (0/1), Off-Amazon operating cost £/month, and Asking Price (on Summary).</t>
  </si>
  <si>
    <t xml:space="preserve">Source files the user provides (see the Workflow doc for detail)</t>
  </si>
  <si>
    <t xml:space="preserve">•  A) 13 monthly Summary PDFs   B) 13 monthly Transaction CSVs   C) 13 monthly Business Reports</t>
  </si>
  <si>
    <t xml:space="preserve">•  D) Seller's evaluation / SellerBoard export (for landed cost)   E) PPC invoices (zip)</t>
  </si>
  <si>
    <t xml:space="preserve">Golden rule: every month must tie to Amazon's own Income/Expenses totals (the check rows = 0) before trusting any number.</t>
  </si>
  <si>
    <t xml:space="preserve">Month</t>
  </si>
  <si>
    <t xml:space="preserve">ProductSales FBA</t>
  </si>
  <si>
    <t xml:space="preserve">ProductSales SF</t>
  </si>
  <si>
    <t xml:space="preserve">Refund FBA</t>
  </si>
  <si>
    <t xml:space="preserve">Refund SF</t>
  </si>
  <si>
    <t xml:space="preserve">Delivery credit refund</t>
  </si>
  <si>
    <t xml:space="preserve">Postage credits</t>
  </si>
  <si>
    <t xml:space="preserve">Inventory credit</t>
  </si>
  <si>
    <t xml:space="preserve">Gift-wrap credits</t>
  </si>
  <si>
    <t xml:space="preserve">Promo rebates</t>
  </si>
  <si>
    <t xml:space="preserve">Promo rebate refunds</t>
  </si>
  <si>
    <t xml:space="preserve">INCOME TOTAL</t>
  </si>
  <si>
    <t xml:space="preserve">FBA selling fees</t>
  </si>
  <si>
    <t xml:space="preserve">SF selling fees</t>
  </si>
  <si>
    <t xml:space="preserve">Selling fee refunds</t>
  </si>
  <si>
    <t xml:space="preserve">FBA transaction fees</t>
  </si>
  <si>
    <t xml:space="preserve">FBA txn fee refunds</t>
  </si>
  <si>
    <t xml:space="preserve">Other txn fees</t>
  </si>
  <si>
    <t xml:space="preserve">Other txn fee refunds</t>
  </si>
  <si>
    <t xml:space="preserve">Storage &amp; inbound</t>
  </si>
  <si>
    <t xml:space="preserve">Service fees</t>
  </si>
  <si>
    <t xml:space="preserve">Refund admin</t>
  </si>
  <si>
    <t xml:space="preserve">Delivery label</t>
  </si>
  <si>
    <t xml:space="preserve">Adjustments</t>
  </si>
  <si>
    <t xml:space="preserve">Cost of Advertising</t>
  </si>
  <si>
    <t xml:space="preserve">EXPENSES TOTAL</t>
  </si>
  <si>
    <t xml:space="preserve">M1 (oldest)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</si>
  <si>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</si>
  <si>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</si>
  <si>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</si>
  <si>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</si>
  <si>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</si>
  <si>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</si>
  <si>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</si>
  <si>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</si>
  <si>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</si>
  <si>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</si>
  <si>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</si>
  <si>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 (newest)</t>
  </si>
  <si>
    <t xml:space="preserve">UNITS PER SKU PER MONTH (net = orders − refunds). £/unit pulls from the COST RATE TABLE (right).</t>
  </si>
  <si>
    <t xml:space="preserve">COST RATE TABLE (edit)</t>
  </si>
  <si>
    <t xml:space="preserve">SKU</t>
  </si>
  <si>
    <t xml:space="preserve">Family</t>
  </si>
  <si>
    <t xml:space="preserve">£/unit</t>
  </si>
  <si>
    <t xml:space="preserve">M1 (ol</t>
  </si>
  <si>
    <t xml:space="preserve">M13 (n</t>
  </si>
  <si>
    <t xml:space="preserve">Family 1</t>
  </si>
  <si>
    <t xml:space="preserve">DUMMY-SKU-A</t>
  </si>
  <si>
    <t xml:space="preserve">Family 2</t>
  </si>
  <si>
    <t xml:space="preserve">DUMMY-SKU-B</t>
  </si>
  <si>
    <t xml:space="preserve">Family 3</t>
  </si>
  <si>
    <t xml:space="preserve">DUMMY-SKU-C</t>
  </si>
  <si>
    <t xml:space="preserve">Add families/rates here; point each SKU's £/unit at the right rate cell.</t>
  </si>
  <si>
    <t xml:space="preserve">MONTHLY UNITS (total)</t>
  </si>
  <si>
    <t xml:space="preserve">MONTHLY COGS (Σ units×rate)</t>
  </si>
  <si>
    <t xml:space="preserve">Sessions</t>
  </si>
  <si>
    <t xml:space="preserve">Page views</t>
  </si>
  <si>
    <t xml:space="preserve">Units ordered</t>
  </si>
  <si>
    <t xml:space="preserve">Buy Box %</t>
  </si>
  <si>
    <t xml:space="preserve">Child ASINs</t>
  </si>
  <si>
    <t xml:space="preserve">MONTHLY P&amp;L (computed from the Inputs tabs)</t>
  </si>
  <si>
    <t xml:space="preserve">Costs negative. TTM = the newest 12 months (columns C:N). All values flow from the Inputs_* tabs.</t>
  </si>
  <si>
    <t xml:space="preserve">Line item</t>
  </si>
  <si>
    <t xml:space="preserve">TTM</t>
  </si>
  <si>
    <t xml:space="preserve">TTM avg</t>
  </si>
  <si>
    <t xml:space="preserve">REVENUE</t>
  </si>
  <si>
    <t xml:space="preserve">    Product Sales</t>
  </si>
  <si>
    <t xml:space="preserve">    Other Income (postage, inv, gift)</t>
  </si>
  <si>
    <t xml:space="preserve">    less: Promotional Rebates (net)</t>
  </si>
  <si>
    <t xml:space="preserve">    less: Returns &amp; Refunds</t>
  </si>
  <si>
    <t xml:space="preserve">Net Sales</t>
  </si>
  <si>
    <t xml:space="preserve">    check: Income total (PDF)</t>
  </si>
  <si>
    <t xml:space="preserve">    check: Difference (0)</t>
  </si>
  <si>
    <t xml:space="preserve">AMAZON FEES (referral &amp; FBA split net + VAT@20%)</t>
  </si>
  <si>
    <t xml:space="preserve">    Referral / Selling Fees (ex-VAT)</t>
  </si>
  <si>
    <t xml:space="preserve">    Referral Fees — VAT @20%</t>
  </si>
  <si>
    <t xml:space="preserve">    FBA Fulfilment Fees (ex-VAT)</t>
  </si>
  <si>
    <t xml:space="preserve">    FBA Fulfilment — VAT @20%</t>
  </si>
  <si>
    <t xml:space="preserve">    Storage &amp; Inbound Fees (incl VAT)</t>
  </si>
  <si>
    <t xml:space="preserve">    Other Fees (incl VAT)</t>
  </si>
  <si>
    <t xml:space="preserve">Total Amazon Fees (incl VAT, excl ads)</t>
  </si>
  <si>
    <t xml:space="preserve">ADVERTISING / PPC</t>
  </si>
  <si>
    <t xml:space="preserve">    PPC / Advertising (ex-VAT)</t>
  </si>
  <si>
    <t xml:space="preserve">    PPC — VAT @20%</t>
  </si>
  <si>
    <t xml:space="preserve">Total PPC (incl VAT)</t>
  </si>
  <si>
    <t xml:space="preserve">    check: Expenses total (PDF)</t>
  </si>
  <si>
    <t xml:space="preserve">COGS, VAT &amp; NET PROFIT</t>
  </si>
  <si>
    <t xml:space="preserve">    Units Sold (net)</t>
  </si>
  <si>
    <t xml:space="preserve">    Avg Selling Price</t>
  </si>
  <si>
    <t xml:space="preserve">    COGS (DDP + import VAT)</t>
  </si>
  <si>
    <t xml:space="preserve">    Output VAT (per VAT status)</t>
  </si>
  <si>
    <t xml:space="preserve">    Off-Amazon Operating Costs</t>
  </si>
  <si>
    <t xml:space="preserve">Estimated Net Profit</t>
  </si>
  <si>
    <t xml:space="preserve">KEY METRICS</t>
  </si>
  <si>
    <t xml:space="preserve">    TACoS %</t>
  </si>
  <si>
    <t xml:space="preserve">    Amazon fee % of net sales</t>
  </si>
  <si>
    <t xml:space="preserve">    Net margin %</t>
  </si>
  <si>
    <t xml:space="preserve">ASSUMPTIONS</t>
  </si>
  <si>
    <t xml:space="preserve">Blended landed £/unit (computed)</t>
  </si>
  <si>
    <t xml:space="preserve">Off-Amazon operating cost (£/month)</t>
  </si>
  <si>
    <t xml:space="preserve">VAT registered &amp; standard-rated? (1=yes,0=no)</t>
  </si>
  <si>
    <t xml:space="preserve">SUMMARY (TTM)</t>
  </si>
  <si>
    <t xml:space="preserve">Net Sales (TTM)</t>
  </si>
  <si>
    <t xml:space="preserve">Total Amazon Fees incl VAT</t>
  </si>
  <si>
    <t xml:space="preserve">PPC incl VAT</t>
  </si>
  <si>
    <t xml:space="preserve">COGS</t>
  </si>
  <si>
    <t xml:space="preserve">Output VAT</t>
  </si>
  <si>
    <t xml:space="preserve">Off-Amazon OpEx (TTM)</t>
  </si>
  <si>
    <t xml:space="preserve">NET PROFIT (TTM)</t>
  </si>
  <si>
    <t xml:space="preserve">Net margin %</t>
  </si>
  <si>
    <t xml:space="preserve">Blended landed £/unit</t>
  </si>
  <si>
    <t xml:space="preserve">Asking Price (enter)</t>
  </si>
  <si>
    <t xml:space="preserve">Implied multiple (Price ÷ Net Profit)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</si>
</sst>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.00;&quot;(£&quot;#,##0.00\);\-"/>
    <numFmt numFmtId="166" formatCode="#,##0;\(#,##0\);\-"/>
    <numFmt numFmtId="167" formatCode="\£#,##0;&quot;(£&quot;#,##0\);\-"/>
    <numFmt numFmtId="168" formatCode="0.0%"/>
    <numFmt numFmtId="169" formatCode="0"/>
    <numFmt numFmtId="170" formatCode="0.00\x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D9E1F2"/>
      </patternFill>
    </fill>
    <fill>
      <patternFill patternType="solid">
        <fgColor rgb="FF2E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5.5" hidden="false" customHeight="true" outlineLevel="0" collapsed="false">
      <c r="B6" s="4" t="s">
        <v>3</v>
      </c>
    </row>
    <row r="7" customFormat="false" ht="25.5" hidden="false" customHeight="true" outlineLevel="0" collapsed="false">
      <c r="B7" s="4" t="s">
        <v>4</v>
      </c>
    </row>
    <row r="8" customFormat="false" ht="25.5" hidden="false" customHeight="true" outlineLevel="0" collapsed="false">
      <c r="B8" s="4" t="s">
        <v>5</v>
      </c>
    </row>
    <row r="9" customFormat="false" ht="25.5" hidden="false" customHeight="true" outlineLevel="0" collapsed="false">
      <c r="B9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31.5" hidden="false" customHeight="true" outlineLevel="0" collapsed="false">
      <c r="B12" s="4" t="s">
        <v>8</v>
      </c>
    </row>
    <row r="13" customFormat="false" ht="31.5" hidden="false" customHeight="true" outlineLevel="0" collapsed="false">
      <c r="B13" s="4" t="s">
        <v>9</v>
      </c>
    </row>
    <row r="14" customFormat="false" ht="31.5" hidden="false" customHeight="true" outlineLevel="0" collapsed="false">
      <c r="B14" s="4" t="s">
        <v>10</v>
      </c>
    </row>
    <row r="15" customFormat="false" ht="31.5" hidden="false" customHeight="true" outlineLevel="0" collapsed="false">
      <c r="B15" s="4" t="s">
        <v>11</v>
      </c>
    </row>
    <row r="17" customFormat="false" ht="15" hidden="false" customHeight="false" outlineLevel="0" collapsed="false">
      <c r="B17" s="3" t="s">
        <v>12</v>
      </c>
    </row>
    <row r="18" customFormat="false" ht="21.75" hidden="false" customHeight="true" outlineLevel="0" collapsed="false">
      <c r="B18" s="4" t="s">
        <v>13</v>
      </c>
    </row>
    <row r="19" customFormat="false" ht="21.75" hidden="false" customHeight="true" outlineLevel="0" collapsed="false">
      <c r="B19" s="4" t="s">
        <v>14</v>
      </c>
    </row>
    <row r="21" customFormat="false" ht="23.85" hidden="false" customHeight="false" outlineLevel="0" collapsed="false">
      <c r="B21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6" min="2" style="0" width="11"/>
  </cols>
  <sheetData>
    <row r="1" customFormat="false" ht="39.75" hidden="false" customHeight="true" outlineLevel="0" collapsed="false">
      <c r="A1" s="6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7" t="s">
        <v>34</v>
      </c>
      <c r="T1" s="7" t="s">
        <v>35</v>
      </c>
      <c r="U1" s="7" t="s">
        <v>36</v>
      </c>
      <c r="V1" s="7" t="s">
        <v>37</v>
      </c>
      <c r="W1" s="7" t="s">
        <v>38</v>
      </c>
      <c r="X1" s="7" t="s">
        <v>39</v>
      </c>
      <c r="Y1" s="7" t="s">
        <v>40</v>
      </c>
      <c r="Z1" s="7" t="s">
        <v>41</v>
      </c>
    </row>
    <row r="2" customFormat="false" ht="15" hidden="false" customHeight="false" outlineLevel="0" collapsed="false">
      <c r="A2" s="8" t="s">
        <v>42</v>
      </c>
      <c r="B2" s="9" t="n">
        <v>5000</v>
      </c>
      <c r="C2" s="9" t="n">
        <v>0</v>
      </c>
      <c r="D2" s="9" t="n">
        <v>-150</v>
      </c>
      <c r="E2" s="9" t="n">
        <v>0</v>
      </c>
      <c r="F2" s="9" t="n">
        <v>-5</v>
      </c>
      <c r="G2" s="9" t="n">
        <v>120</v>
      </c>
      <c r="H2" s="9" t="n">
        <v>30</v>
      </c>
      <c r="I2" s="9" t="n">
        <v>6</v>
      </c>
      <c r="J2" s="9" t="n">
        <v>-100</v>
      </c>
      <c r="K2" s="9" t="n">
        <v>2</v>
      </c>
      <c r="L2" s="10" t="n">
        <v>4903</v>
      </c>
      <c r="M2" s="9" t="n">
        <v>-750</v>
      </c>
      <c r="N2" s="9" t="n">
        <v>0</v>
      </c>
      <c r="O2" s="9" t="n">
        <v>5</v>
      </c>
      <c r="P2" s="9" t="n">
        <v>-1200</v>
      </c>
      <c r="Q2" s="9" t="n">
        <v>3</v>
      </c>
      <c r="R2" s="9" t="n">
        <v>-40</v>
      </c>
      <c r="S2" s="9" t="n">
        <v>0.5</v>
      </c>
      <c r="T2" s="9" t="n">
        <v>-150</v>
      </c>
      <c r="U2" s="9" t="n">
        <v>-30</v>
      </c>
      <c r="V2" s="9" t="n">
        <v>-2</v>
      </c>
      <c r="W2" s="9" t="n">
        <v>0</v>
      </c>
      <c r="X2" s="9" t="n">
        <v>0</v>
      </c>
      <c r="Y2" s="9" t="n">
        <v>-600</v>
      </c>
      <c r="Z2" s="10" t="n">
        <v>-2763.5</v>
      </c>
    </row>
    <row r="3" customFormat="false" ht="15" hidden="false" customHeight="false" outlineLevel="0" collapsed="false">
      <c r="A3" s="8" t="s">
        <v>43</v>
      </c>
      <c r="B3" s="9" t="n">
        <v>5000</v>
      </c>
      <c r="C3" s="9" t="n">
        <v>0</v>
      </c>
      <c r="D3" s="9" t="n">
        <v>-150</v>
      </c>
      <c r="E3" s="9" t="n">
        <v>0</v>
      </c>
      <c r="F3" s="9" t="n">
        <v>-5</v>
      </c>
      <c r="G3" s="9" t="n">
        <v>120</v>
      </c>
      <c r="H3" s="9" t="n">
        <v>30</v>
      </c>
      <c r="I3" s="9" t="n">
        <v>6</v>
      </c>
      <c r="J3" s="9" t="n">
        <v>-100</v>
      </c>
      <c r="K3" s="9" t="n">
        <v>2</v>
      </c>
      <c r="L3" s="10" t="n">
        <v>4903</v>
      </c>
      <c r="M3" s="9" t="n">
        <v>-750</v>
      </c>
      <c r="N3" s="9" t="n">
        <v>0</v>
      </c>
      <c r="O3" s="9" t="n">
        <v>5</v>
      </c>
      <c r="P3" s="9" t="n">
        <v>-1200</v>
      </c>
      <c r="Q3" s="9" t="n">
        <v>3</v>
      </c>
      <c r="R3" s="9" t="n">
        <v>-40</v>
      </c>
      <c r="S3" s="9" t="n">
        <v>0.5</v>
      </c>
      <c r="T3" s="9" t="n">
        <v>-150</v>
      </c>
      <c r="U3" s="9" t="n">
        <v>-30</v>
      </c>
      <c r="V3" s="9" t="n">
        <v>-2</v>
      </c>
      <c r="W3" s="9" t="n">
        <v>0</v>
      </c>
      <c r="X3" s="9" t="n">
        <v>0</v>
      </c>
      <c r="Y3" s="9" t="n">
        <v>-600</v>
      </c>
      <c r="Z3" s="10" t="n">
        <v>-2763.5</v>
      </c>
    </row>
    <row r="4" customFormat="false" ht="15" hidden="false" customHeight="false" outlineLevel="0" collapsed="false">
      <c r="A4" s="8" t="s">
        <v>44</v>
      </c>
      <c r="B4" s="9" t="n">
        <v>5000</v>
      </c>
      <c r="C4" s="9" t="n">
        <v>0</v>
      </c>
      <c r="D4" s="9" t="n">
        <v>-150</v>
      </c>
      <c r="E4" s="9" t="n">
        <v>0</v>
      </c>
      <c r="F4" s="9" t="n">
        <v>-5</v>
      </c>
      <c r="G4" s="9" t="n">
        <v>120</v>
      </c>
      <c r="H4" s="9" t="n">
        <v>30</v>
      </c>
      <c r="I4" s="9" t="n">
        <v>6</v>
      </c>
      <c r="J4" s="9" t="n">
        <v>-100</v>
      </c>
      <c r="K4" s="9" t="n">
        <v>2</v>
      </c>
      <c r="L4" s="10" t="n">
        <v>4903</v>
      </c>
      <c r="M4" s="9" t="n">
        <v>-750</v>
      </c>
      <c r="N4" s="9" t="n">
        <v>0</v>
      </c>
      <c r="O4" s="9" t="n">
        <v>5</v>
      </c>
      <c r="P4" s="9" t="n">
        <v>-1200</v>
      </c>
      <c r="Q4" s="9" t="n">
        <v>3</v>
      </c>
      <c r="R4" s="9" t="n">
        <v>-40</v>
      </c>
      <c r="S4" s="9" t="n">
        <v>0.5</v>
      </c>
      <c r="T4" s="9" t="n">
        <v>-150</v>
      </c>
      <c r="U4" s="9" t="n">
        <v>-30</v>
      </c>
      <c r="V4" s="9" t="n">
        <v>-2</v>
      </c>
      <c r="W4" s="9" t="n">
        <v>0</v>
      </c>
      <c r="X4" s="9" t="n">
        <v>0</v>
      </c>
      <c r="Y4" s="9" t="n">
        <v>-600</v>
      </c>
      <c r="Z4" s="10" t="n">
        <v>-2763.5</v>
      </c>
    </row>
    <row r="5" customFormat="false" ht="15" hidden="false" customHeight="false" outlineLevel="0" collapsed="false">
      <c r="A5" s="8" t="s">
        <v>45</v>
      </c>
      <c r="B5" s="9" t="n">
        <v>5000</v>
      </c>
      <c r="C5" s="9" t="n">
        <v>0</v>
      </c>
      <c r="D5" s="9" t="n">
        <v>-150</v>
      </c>
      <c r="E5" s="9" t="n">
        <v>0</v>
      </c>
      <c r="F5" s="9" t="n">
        <v>-5</v>
      </c>
      <c r="G5" s="9" t="n">
        <v>120</v>
      </c>
      <c r="H5" s="9" t="n">
        <v>30</v>
      </c>
      <c r="I5" s="9" t="n">
        <v>6</v>
      </c>
      <c r="J5" s="9" t="n">
        <v>-100</v>
      </c>
      <c r="K5" s="9" t="n">
        <v>2</v>
      </c>
      <c r="L5" s="10" t="n">
        <v>4903</v>
      </c>
      <c r="M5" s="9" t="n">
        <v>-750</v>
      </c>
      <c r="N5" s="9" t="n">
        <v>0</v>
      </c>
      <c r="O5" s="9" t="n">
        <v>5</v>
      </c>
      <c r="P5" s="9" t="n">
        <v>-1200</v>
      </c>
      <c r="Q5" s="9" t="n">
        <v>3</v>
      </c>
      <c r="R5" s="9" t="n">
        <v>-40</v>
      </c>
      <c r="S5" s="9" t="n">
        <v>0.5</v>
      </c>
      <c r="T5" s="9" t="n">
        <v>-150</v>
      </c>
      <c r="U5" s="9" t="n">
        <v>-30</v>
      </c>
      <c r="V5" s="9" t="n">
        <v>-2</v>
      </c>
      <c r="W5" s="9" t="n">
        <v>0</v>
      </c>
      <c r="X5" s="9" t="n">
        <v>0</v>
      </c>
      <c r="Y5" s="9" t="n">
        <v>-600</v>
      </c>
      <c r="Z5" s="10" t="n">
        <v>-2763.5</v>
      </c>
    </row>
    <row r="6" customFormat="false" ht="15" hidden="false" customHeight="false" outlineLevel="0" collapsed="false">
      <c r="A6" s="8" t="s">
        <v>46</v>
      </c>
      <c r="B6" s="9" t="n">
        <v>5000</v>
      </c>
      <c r="C6" s="9" t="n">
        <v>0</v>
      </c>
      <c r="D6" s="9" t="n">
        <v>-150</v>
      </c>
      <c r="E6" s="9" t="n">
        <v>0</v>
      </c>
      <c r="F6" s="9" t="n">
        <v>-5</v>
      </c>
      <c r="G6" s="9" t="n">
        <v>120</v>
      </c>
      <c r="H6" s="9" t="n">
        <v>30</v>
      </c>
      <c r="I6" s="9" t="n">
        <v>6</v>
      </c>
      <c r="J6" s="9" t="n">
        <v>-100</v>
      </c>
      <c r="K6" s="9" t="n">
        <v>2</v>
      </c>
      <c r="L6" s="10" t="n">
        <v>4903</v>
      </c>
      <c r="M6" s="9" t="n">
        <v>-750</v>
      </c>
      <c r="N6" s="9" t="n">
        <v>0</v>
      </c>
      <c r="O6" s="9" t="n">
        <v>5</v>
      </c>
      <c r="P6" s="9" t="n">
        <v>-1200</v>
      </c>
      <c r="Q6" s="9" t="n">
        <v>3</v>
      </c>
      <c r="R6" s="9" t="n">
        <v>-40</v>
      </c>
      <c r="S6" s="9" t="n">
        <v>0.5</v>
      </c>
      <c r="T6" s="9" t="n">
        <v>-150</v>
      </c>
      <c r="U6" s="9" t="n">
        <v>-30</v>
      </c>
      <c r="V6" s="9" t="n">
        <v>-2</v>
      </c>
      <c r="W6" s="9" t="n">
        <v>0</v>
      </c>
      <c r="X6" s="9" t="n">
        <v>0</v>
      </c>
      <c r="Y6" s="9" t="n">
        <v>-600</v>
      </c>
      <c r="Z6" s="10" t="n">
        <v>-2763.5</v>
      </c>
    </row>
    <row r="7" customFormat="false" ht="15" hidden="false" customHeight="false" outlineLevel="0" collapsed="false">
      <c r="A7" s="8" t="s">
        <v>47</v>
      </c>
      <c r="B7" s="9" t="n">
        <v>5000</v>
      </c>
      <c r="C7" s="9" t="n">
        <v>0</v>
      </c>
      <c r="D7" s="9" t="n">
        <v>-150</v>
      </c>
      <c r="E7" s="9" t="n">
        <v>0</v>
      </c>
      <c r="F7" s="9" t="n">
        <v>-5</v>
      </c>
      <c r="G7" s="9" t="n">
        <v>120</v>
      </c>
      <c r="H7" s="9" t="n">
        <v>30</v>
      </c>
      <c r="I7" s="9" t="n">
        <v>6</v>
      </c>
      <c r="J7" s="9" t="n">
        <v>-100</v>
      </c>
      <c r="K7" s="9" t="n">
        <v>2</v>
      </c>
      <c r="L7" s="10" t="n">
        <v>4903</v>
      </c>
      <c r="M7" s="9" t="n">
        <v>-750</v>
      </c>
      <c r="N7" s="9" t="n">
        <v>0</v>
      </c>
      <c r="O7" s="9" t="n">
        <v>5</v>
      </c>
      <c r="P7" s="9" t="n">
        <v>-1200</v>
      </c>
      <c r="Q7" s="9" t="n">
        <v>3</v>
      </c>
      <c r="R7" s="9" t="n">
        <v>-40</v>
      </c>
      <c r="S7" s="9" t="n">
        <v>0.5</v>
      </c>
      <c r="T7" s="9" t="n">
        <v>-150</v>
      </c>
      <c r="U7" s="9" t="n">
        <v>-30</v>
      </c>
      <c r="V7" s="9" t="n">
        <v>-2</v>
      </c>
      <c r="W7" s="9" t="n">
        <v>0</v>
      </c>
      <c r="X7" s="9" t="n">
        <v>0</v>
      </c>
      <c r="Y7" s="9" t="n">
        <v>-600</v>
      </c>
      <c r="Z7" s="10" t="n">
        <v>-2763.5</v>
      </c>
    </row>
    <row r="8" customFormat="false" ht="15" hidden="false" customHeight="false" outlineLevel="0" collapsed="false">
      <c r="A8" s="8" t="s">
        <v>48</v>
      </c>
      <c r="B8" s="9" t="n">
        <v>5000</v>
      </c>
      <c r="C8" s="9" t="n">
        <v>0</v>
      </c>
      <c r="D8" s="9" t="n">
        <v>-150</v>
      </c>
      <c r="E8" s="9" t="n">
        <v>0</v>
      </c>
      <c r="F8" s="9" t="n">
        <v>-5</v>
      </c>
      <c r="G8" s="9" t="n">
        <v>120</v>
      </c>
      <c r="H8" s="9" t="n">
        <v>30</v>
      </c>
      <c r="I8" s="9" t="n">
        <v>6</v>
      </c>
      <c r="J8" s="9" t="n">
        <v>-100</v>
      </c>
      <c r="K8" s="9" t="n">
        <v>2</v>
      </c>
      <c r="L8" s="10" t="n">
        <v>4903</v>
      </c>
      <c r="M8" s="9" t="n">
        <v>-750</v>
      </c>
      <c r="N8" s="9" t="n">
        <v>0</v>
      </c>
      <c r="O8" s="9" t="n">
        <v>5</v>
      </c>
      <c r="P8" s="9" t="n">
        <v>-1200</v>
      </c>
      <c r="Q8" s="9" t="n">
        <v>3</v>
      </c>
      <c r="R8" s="9" t="n">
        <v>-40</v>
      </c>
      <c r="S8" s="9" t="n">
        <v>0.5</v>
      </c>
      <c r="T8" s="9" t="n">
        <v>-150</v>
      </c>
      <c r="U8" s="9" t="n">
        <v>-30</v>
      </c>
      <c r="V8" s="9" t="n">
        <v>-2</v>
      </c>
      <c r="W8" s="9" t="n">
        <v>0</v>
      </c>
      <c r="X8" s="9" t="n">
        <v>0</v>
      </c>
      <c r="Y8" s="9" t="n">
        <v>-600</v>
      </c>
      <c r="Z8" s="10" t="n">
        <v>-2763.5</v>
      </c>
    </row>
    <row r="9" customFormat="false" ht="15" hidden="false" customHeight="false" outlineLevel="0" collapsed="false">
      <c r="A9" s="8" t="s">
        <v>49</v>
      </c>
      <c r="B9" s="9" t="n">
        <v>5000</v>
      </c>
      <c r="C9" s="9" t="n">
        <v>0</v>
      </c>
      <c r="D9" s="9" t="n">
        <v>-150</v>
      </c>
      <c r="E9" s="9" t="n">
        <v>0</v>
      </c>
      <c r="F9" s="9" t="n">
        <v>-5</v>
      </c>
      <c r="G9" s="9" t="n">
        <v>120</v>
      </c>
      <c r="H9" s="9" t="n">
        <v>30</v>
      </c>
      <c r="I9" s="9" t="n">
        <v>6</v>
      </c>
      <c r="J9" s="9" t="n">
        <v>-100</v>
      </c>
      <c r="K9" s="9" t="n">
        <v>2</v>
      </c>
      <c r="L9" s="10" t="n">
        <v>4903</v>
      </c>
      <c r="M9" s="9" t="n">
        <v>-750</v>
      </c>
      <c r="N9" s="9" t="n">
        <v>0</v>
      </c>
      <c r="O9" s="9" t="n">
        <v>5</v>
      </c>
      <c r="P9" s="9" t="n">
        <v>-1200</v>
      </c>
      <c r="Q9" s="9" t="n">
        <v>3</v>
      </c>
      <c r="R9" s="9" t="n">
        <v>-40</v>
      </c>
      <c r="S9" s="9" t="n">
        <v>0.5</v>
      </c>
      <c r="T9" s="9" t="n">
        <v>-150</v>
      </c>
      <c r="U9" s="9" t="n">
        <v>-30</v>
      </c>
      <c r="V9" s="9" t="n">
        <v>-2</v>
      </c>
      <c r="W9" s="9" t="n">
        <v>0</v>
      </c>
      <c r="X9" s="9" t="n">
        <v>0</v>
      </c>
      <c r="Y9" s="9" t="n">
        <v>-600</v>
      </c>
      <c r="Z9" s="10" t="n">
        <v>-2763.5</v>
      </c>
    </row>
    <row r="10" customFormat="false" ht="15" hidden="false" customHeight="false" outlineLevel="0" collapsed="false">
      <c r="A10" s="8" t="s">
        <v>50</v>
      </c>
      <c r="B10" s="9" t="n">
        <v>5000</v>
      </c>
      <c r="C10" s="9" t="n">
        <v>0</v>
      </c>
      <c r="D10" s="9" t="n">
        <v>-150</v>
      </c>
      <c r="E10" s="9" t="n">
        <v>0</v>
      </c>
      <c r="F10" s="9" t="n">
        <v>-5</v>
      </c>
      <c r="G10" s="9" t="n">
        <v>120</v>
      </c>
      <c r="H10" s="9" t="n">
        <v>30</v>
      </c>
      <c r="I10" s="9" t="n">
        <v>6</v>
      </c>
      <c r="J10" s="9" t="n">
        <v>-100</v>
      </c>
      <c r="K10" s="9" t="n">
        <v>2</v>
      </c>
      <c r="L10" s="10" t="n">
        <v>4903</v>
      </c>
      <c r="M10" s="9" t="n">
        <v>-750</v>
      </c>
      <c r="N10" s="9" t="n">
        <v>0</v>
      </c>
      <c r="O10" s="9" t="n">
        <v>5</v>
      </c>
      <c r="P10" s="9" t="n">
        <v>-1200</v>
      </c>
      <c r="Q10" s="9" t="n">
        <v>3</v>
      </c>
      <c r="R10" s="9" t="n">
        <v>-40</v>
      </c>
      <c r="S10" s="9" t="n">
        <v>0.5</v>
      </c>
      <c r="T10" s="9" t="n">
        <v>-150</v>
      </c>
      <c r="U10" s="9" t="n">
        <v>-30</v>
      </c>
      <c r="V10" s="9" t="n">
        <v>-2</v>
      </c>
      <c r="W10" s="9" t="n">
        <v>0</v>
      </c>
      <c r="X10" s="9" t="n">
        <v>0</v>
      </c>
      <c r="Y10" s="9" t="n">
        <v>-600</v>
      </c>
      <c r="Z10" s="10" t="n">
        <v>-2763.5</v>
      </c>
    </row>
    <row r="11" customFormat="false" ht="15" hidden="false" customHeight="false" outlineLevel="0" collapsed="false">
      <c r="A11" s="8" t="s">
        <v>51</v>
      </c>
      <c r="B11" s="9" t="n">
        <v>5000</v>
      </c>
      <c r="C11" s="9" t="n">
        <v>0</v>
      </c>
      <c r="D11" s="9" t="n">
        <v>-150</v>
      </c>
      <c r="E11" s="9" t="n">
        <v>0</v>
      </c>
      <c r="F11" s="9" t="n">
        <v>-5</v>
      </c>
      <c r="G11" s="9" t="n">
        <v>120</v>
      </c>
      <c r="H11" s="9" t="n">
        <v>30</v>
      </c>
      <c r="I11" s="9" t="n">
        <v>6</v>
      </c>
      <c r="J11" s="9" t="n">
        <v>-100</v>
      </c>
      <c r="K11" s="9" t="n">
        <v>2</v>
      </c>
      <c r="L11" s="10" t="n">
        <v>4903</v>
      </c>
      <c r="M11" s="9" t="n">
        <v>-750</v>
      </c>
      <c r="N11" s="9" t="n">
        <v>0</v>
      </c>
      <c r="O11" s="9" t="n">
        <v>5</v>
      </c>
      <c r="P11" s="9" t="n">
        <v>-1200</v>
      </c>
      <c r="Q11" s="9" t="n">
        <v>3</v>
      </c>
      <c r="R11" s="9" t="n">
        <v>-40</v>
      </c>
      <c r="S11" s="9" t="n">
        <v>0.5</v>
      </c>
      <c r="T11" s="9" t="n">
        <v>-150</v>
      </c>
      <c r="U11" s="9" t="n">
        <v>-30</v>
      </c>
      <c r="V11" s="9" t="n">
        <v>-2</v>
      </c>
      <c r="W11" s="9" t="n">
        <v>0</v>
      </c>
      <c r="X11" s="9" t="n">
        <v>0</v>
      </c>
      <c r="Y11" s="9" t="n">
        <v>-600</v>
      </c>
      <c r="Z11" s="10" t="n">
        <v>-2763.5</v>
      </c>
    </row>
    <row r="12" customFormat="false" ht="15" hidden="false" customHeight="false" outlineLevel="0" collapsed="false">
      <c r="A12" s="8" t="s">
        <v>52</v>
      </c>
      <c r="B12" s="9" t="n">
        <v>5000</v>
      </c>
      <c r="C12" s="9" t="n">
        <v>0</v>
      </c>
      <c r="D12" s="9" t="n">
        <v>-150</v>
      </c>
      <c r="E12" s="9" t="n">
        <v>0</v>
      </c>
      <c r="F12" s="9" t="n">
        <v>-5</v>
      </c>
      <c r="G12" s="9" t="n">
        <v>120</v>
      </c>
      <c r="H12" s="9" t="n">
        <v>30</v>
      </c>
      <c r="I12" s="9" t="n">
        <v>6</v>
      </c>
      <c r="J12" s="9" t="n">
        <v>-100</v>
      </c>
      <c r="K12" s="9" t="n">
        <v>2</v>
      </c>
      <c r="L12" s="10" t="n">
        <v>4903</v>
      </c>
      <c r="M12" s="9" t="n">
        <v>-750</v>
      </c>
      <c r="N12" s="9" t="n">
        <v>0</v>
      </c>
      <c r="O12" s="9" t="n">
        <v>5</v>
      </c>
      <c r="P12" s="9" t="n">
        <v>-1200</v>
      </c>
      <c r="Q12" s="9" t="n">
        <v>3</v>
      </c>
      <c r="R12" s="9" t="n">
        <v>-40</v>
      </c>
      <c r="S12" s="9" t="n">
        <v>0.5</v>
      </c>
      <c r="T12" s="9" t="n">
        <v>-150</v>
      </c>
      <c r="U12" s="9" t="n">
        <v>-30</v>
      </c>
      <c r="V12" s="9" t="n">
        <v>-2</v>
      </c>
      <c r="W12" s="9" t="n">
        <v>0</v>
      </c>
      <c r="X12" s="9" t="n">
        <v>0</v>
      </c>
      <c r="Y12" s="9" t="n">
        <v>-600</v>
      </c>
      <c r="Z12" s="10" t="n">
        <v>-2763.5</v>
      </c>
    </row>
    <row r="13" customFormat="false" ht="15" hidden="false" customHeight="false" outlineLevel="0" collapsed="false">
      <c r="A13" s="8" t="s">
        <v>53</v>
      </c>
      <c r="B13" s="9" t="n">
        <v>5000</v>
      </c>
      <c r="C13" s="9" t="n">
        <v>0</v>
      </c>
      <c r="D13" s="9" t="n">
        <v>-150</v>
      </c>
      <c r="E13" s="9" t="n">
        <v>0</v>
      </c>
      <c r="F13" s="9" t="n">
        <v>-5</v>
      </c>
      <c r="G13" s="9" t="n">
        <v>120</v>
      </c>
      <c r="H13" s="9" t="n">
        <v>30</v>
      </c>
      <c r="I13" s="9" t="n">
        <v>6</v>
      </c>
      <c r="J13" s="9" t="n">
        <v>-100</v>
      </c>
      <c r="K13" s="9" t="n">
        <v>2</v>
      </c>
      <c r="L13" s="10" t="n">
        <v>4903</v>
      </c>
      <c r="M13" s="9" t="n">
        <v>-750</v>
      </c>
      <c r="N13" s="9" t="n">
        <v>0</v>
      </c>
      <c r="O13" s="9" t="n">
        <v>5</v>
      </c>
      <c r="P13" s="9" t="n">
        <v>-1200</v>
      </c>
      <c r="Q13" s="9" t="n">
        <v>3</v>
      </c>
      <c r="R13" s="9" t="n">
        <v>-40</v>
      </c>
      <c r="S13" s="9" t="n">
        <v>0.5</v>
      </c>
      <c r="T13" s="9" t="n">
        <v>-150</v>
      </c>
      <c r="U13" s="9" t="n">
        <v>-30</v>
      </c>
      <c r="V13" s="9" t="n">
        <v>-2</v>
      </c>
      <c r="W13" s="9" t="n">
        <v>0</v>
      </c>
      <c r="X13" s="9" t="n">
        <v>0</v>
      </c>
      <c r="Y13" s="9" t="n">
        <v>-600</v>
      </c>
      <c r="Z13" s="10" t="n">
        <v>-2763.5</v>
      </c>
    </row>
    <row r="14" customFormat="false" ht="15" hidden="false" customHeight="false" outlineLevel="0" collapsed="false">
      <c r="A14" s="8" t="s">
        <v>54</v>
      </c>
      <c r="B14" s="9" t="n">
        <v>5000</v>
      </c>
      <c r="C14" s="9" t="n">
        <v>0</v>
      </c>
      <c r="D14" s="9" t="n">
        <v>-150</v>
      </c>
      <c r="E14" s="9" t="n">
        <v>0</v>
      </c>
      <c r="F14" s="9" t="n">
        <v>-5</v>
      </c>
      <c r="G14" s="9" t="n">
        <v>120</v>
      </c>
      <c r="H14" s="9" t="n">
        <v>30</v>
      </c>
      <c r="I14" s="9" t="n">
        <v>6</v>
      </c>
      <c r="J14" s="9" t="n">
        <v>-100</v>
      </c>
      <c r="K14" s="9" t="n">
        <v>2</v>
      </c>
      <c r="L14" s="10" t="n">
        <v>4903</v>
      </c>
      <c r="M14" s="9" t="n">
        <v>-750</v>
      </c>
      <c r="N14" s="9" t="n">
        <v>0</v>
      </c>
      <c r="O14" s="9" t="n">
        <v>5</v>
      </c>
      <c r="P14" s="9" t="n">
        <v>-1200</v>
      </c>
      <c r="Q14" s="9" t="n">
        <v>3</v>
      </c>
      <c r="R14" s="9" t="n">
        <v>-40</v>
      </c>
      <c r="S14" s="9" t="n">
        <v>0.5</v>
      </c>
      <c r="T14" s="9" t="n">
        <v>-150</v>
      </c>
      <c r="U14" s="9" t="n">
        <v>-30</v>
      </c>
      <c r="V14" s="9" t="n">
        <v>-2</v>
      </c>
      <c r="W14" s="9" t="n">
        <v>0</v>
      </c>
      <c r="X14" s="9" t="n">
        <v>0</v>
      </c>
      <c r="Y14" s="9" t="n">
        <v>-600</v>
      </c>
      <c r="Z14" s="10" t="n">
        <v>-2763.5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16" min="4" style="0" width="7"/>
    <col collapsed="false" customWidth="true" hidden="false" outlineLevel="0" max="18" min="18" style="0" width="14"/>
    <col collapsed="false" customWidth="true" hidden="false" outlineLevel="0" max="19" min="19" style="0" width="9"/>
  </cols>
  <sheetData>
    <row r="1" customFormat="false" ht="15" hidden="false" customHeight="false" outlineLevel="0" collapsed="false">
      <c r="A1" s="11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customFormat="false" ht="15" hidden="false" customHeight="false" outlineLevel="0" collapsed="false">
      <c r="R2" s="12" t="s">
        <v>56</v>
      </c>
      <c r="S2" s="12"/>
    </row>
    <row r="3" customFormat="false" ht="15" hidden="false" customHeight="false" outlineLevel="0" collapsed="false">
      <c r="A3" s="13" t="s">
        <v>57</v>
      </c>
      <c r="B3" s="13" t="s">
        <v>58</v>
      </c>
      <c r="C3" s="14" t="s">
        <v>59</v>
      </c>
      <c r="D3" s="15" t="s">
        <v>60</v>
      </c>
      <c r="E3" s="15" t="s">
        <v>43</v>
      </c>
      <c r="F3" s="15" t="s">
        <v>44</v>
      </c>
      <c r="G3" s="15" t="s">
        <v>45</v>
      </c>
      <c r="H3" s="15" t="s">
        <v>46</v>
      </c>
      <c r="I3" s="15" t="s">
        <v>47</v>
      </c>
      <c r="J3" s="15" t="s">
        <v>48</v>
      </c>
      <c r="K3" s="15" t="s">
        <v>49</v>
      </c>
      <c r="L3" s="15" t="s">
        <v>50</v>
      </c>
      <c r="M3" s="15" t="s">
        <v>51</v>
      </c>
      <c r="N3" s="15" t="s">
        <v>52</v>
      </c>
      <c r="O3" s="15" t="s">
        <v>53</v>
      </c>
      <c r="P3" s="15" t="s">
        <v>61</v>
      </c>
      <c r="R3" s="8" t="s">
        <v>62</v>
      </c>
      <c r="S3" s="16" t="n">
        <v>3</v>
      </c>
    </row>
    <row r="4" customFormat="false" ht="15" hidden="false" customHeight="false" outlineLevel="0" collapsed="false">
      <c r="A4" s="8" t="s">
        <v>63</v>
      </c>
      <c r="B4" s="8" t="s">
        <v>62</v>
      </c>
      <c r="C4" s="17" t="n">
        <f aca="false">$S$3</f>
        <v>3</v>
      </c>
      <c r="D4" s="18" t="n">
        <v>100</v>
      </c>
      <c r="E4" s="18" t="n">
        <v>100</v>
      </c>
      <c r="F4" s="18" t="n">
        <v>100</v>
      </c>
      <c r="G4" s="18" t="n">
        <v>100</v>
      </c>
      <c r="H4" s="18" t="n">
        <v>100</v>
      </c>
      <c r="I4" s="18" t="n">
        <v>100</v>
      </c>
      <c r="J4" s="18" t="n">
        <v>100</v>
      </c>
      <c r="K4" s="18" t="n">
        <v>100</v>
      </c>
      <c r="L4" s="18" t="n">
        <v>100</v>
      </c>
      <c r="M4" s="18" t="n">
        <v>100</v>
      </c>
      <c r="N4" s="18" t="n">
        <v>100</v>
      </c>
      <c r="O4" s="18" t="n">
        <v>100</v>
      </c>
      <c r="P4" s="18" t="n">
        <v>100</v>
      </c>
      <c r="R4" s="8" t="s">
        <v>64</v>
      </c>
      <c r="S4" s="16" t="n">
        <v>5</v>
      </c>
    </row>
    <row r="5" customFormat="false" ht="15" hidden="false" customHeight="false" outlineLevel="0" collapsed="false">
      <c r="A5" s="8" t="s">
        <v>65</v>
      </c>
      <c r="B5" s="8" t="s">
        <v>64</v>
      </c>
      <c r="C5" s="17" t="n">
        <f aca="false">$S$4</f>
        <v>5</v>
      </c>
      <c r="D5" s="18" t="n">
        <v>50</v>
      </c>
      <c r="E5" s="18" t="n">
        <v>50</v>
      </c>
      <c r="F5" s="18" t="n">
        <v>50</v>
      </c>
      <c r="G5" s="18" t="n">
        <v>50</v>
      </c>
      <c r="H5" s="18" t="n">
        <v>50</v>
      </c>
      <c r="I5" s="18" t="n">
        <v>50</v>
      </c>
      <c r="J5" s="18" t="n">
        <v>50</v>
      </c>
      <c r="K5" s="18" t="n">
        <v>50</v>
      </c>
      <c r="L5" s="18" t="n">
        <v>50</v>
      </c>
      <c r="M5" s="18" t="n">
        <v>50</v>
      </c>
      <c r="N5" s="18" t="n">
        <v>50</v>
      </c>
      <c r="O5" s="18" t="n">
        <v>50</v>
      </c>
      <c r="P5" s="18" t="n">
        <v>50</v>
      </c>
      <c r="R5" s="8" t="s">
        <v>66</v>
      </c>
      <c r="S5" s="16" t="n">
        <v>0.5</v>
      </c>
    </row>
    <row r="6" customFormat="false" ht="15" hidden="false" customHeight="false" outlineLevel="0" collapsed="false">
      <c r="A6" s="8" t="s">
        <v>67</v>
      </c>
      <c r="B6" s="8" t="s">
        <v>66</v>
      </c>
      <c r="C6" s="17" t="n">
        <f aca="false">$S$5</f>
        <v>0.5</v>
      </c>
      <c r="D6" s="18" t="n">
        <v>200</v>
      </c>
      <c r="E6" s="18" t="n">
        <v>200</v>
      </c>
      <c r="F6" s="18" t="n">
        <v>200</v>
      </c>
      <c r="G6" s="18" t="n">
        <v>200</v>
      </c>
      <c r="H6" s="18" t="n">
        <v>200</v>
      </c>
      <c r="I6" s="18" t="n">
        <v>200</v>
      </c>
      <c r="J6" s="18" t="n">
        <v>200</v>
      </c>
      <c r="K6" s="18" t="n">
        <v>200</v>
      </c>
      <c r="L6" s="18" t="n">
        <v>200</v>
      </c>
      <c r="M6" s="18" t="n">
        <v>200</v>
      </c>
      <c r="N6" s="18" t="n">
        <v>200</v>
      </c>
      <c r="O6" s="18" t="n">
        <v>200</v>
      </c>
      <c r="P6" s="18" t="n">
        <v>200</v>
      </c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R7" s="19" t="s">
        <v>68</v>
      </c>
      <c r="S7" s="19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R8" s="19"/>
      <c r="S8" s="19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R9" s="19"/>
      <c r="S9" s="19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customFormat="false" ht="15" hidden="false" customHeight="false" outlineLevel="0" collapsed="false">
      <c r="A32" s="20" t="s">
        <v>69</v>
      </c>
      <c r="D32" s="21" t="n">
        <f aca="false">SUM(D4:D31)</f>
        <v>350</v>
      </c>
      <c r="E32" s="21" t="n">
        <f aca="false">SUM(E4:E31)</f>
        <v>350</v>
      </c>
      <c r="F32" s="21" t="n">
        <f aca="false">SUM(F4:F31)</f>
        <v>350</v>
      </c>
      <c r="G32" s="21" t="n">
        <f aca="false">SUM(G4:G31)</f>
        <v>350</v>
      </c>
      <c r="H32" s="21" t="n">
        <f aca="false">SUM(H4:H31)</f>
        <v>350</v>
      </c>
      <c r="I32" s="21" t="n">
        <f aca="false">SUM(I4:I31)</f>
        <v>350</v>
      </c>
      <c r="J32" s="21" t="n">
        <f aca="false">SUM(J4:J31)</f>
        <v>350</v>
      </c>
      <c r="K32" s="21" t="n">
        <f aca="false">SUM(K4:K31)</f>
        <v>350</v>
      </c>
      <c r="L32" s="21" t="n">
        <f aca="false">SUM(L4:L31)</f>
        <v>350</v>
      </c>
      <c r="M32" s="21" t="n">
        <f aca="false">SUM(M4:M31)</f>
        <v>350</v>
      </c>
      <c r="N32" s="21" t="n">
        <f aca="false">SUM(N4:N31)</f>
        <v>350</v>
      </c>
      <c r="O32" s="21" t="n">
        <f aca="false">SUM(O4:O31)</f>
        <v>350</v>
      </c>
      <c r="P32" s="21" t="n">
        <f aca="false">SUM(P4:P31)</f>
        <v>350</v>
      </c>
    </row>
    <row r="33" customFormat="false" ht="15" hidden="false" customHeight="false" outlineLevel="0" collapsed="false">
      <c r="A33" s="20" t="s">
        <v>70</v>
      </c>
      <c r="D33" s="22" t="n">
        <f aca="false">SUMPRODUCT($C$4:$C$31,D4:D31)</f>
        <v>650</v>
      </c>
      <c r="E33" s="22" t="n">
        <f aca="false">SUMPRODUCT($C$4:$C$31,E4:E31)</f>
        <v>650</v>
      </c>
      <c r="F33" s="22" t="n">
        <f aca="false">SUMPRODUCT($C$4:$C$31,F4:F31)</f>
        <v>650</v>
      </c>
      <c r="G33" s="22" t="n">
        <f aca="false">SUMPRODUCT($C$4:$C$31,G4:G31)</f>
        <v>650</v>
      </c>
      <c r="H33" s="22" t="n">
        <f aca="false">SUMPRODUCT($C$4:$C$31,H4:H31)</f>
        <v>650</v>
      </c>
      <c r="I33" s="22" t="n">
        <f aca="false">SUMPRODUCT($C$4:$C$31,I4:I31)</f>
        <v>650</v>
      </c>
      <c r="J33" s="22" t="n">
        <f aca="false">SUMPRODUCT($C$4:$C$31,J4:J31)</f>
        <v>650</v>
      </c>
      <c r="K33" s="22" t="n">
        <f aca="false">SUMPRODUCT($C$4:$C$31,K4:K31)</f>
        <v>650</v>
      </c>
      <c r="L33" s="22" t="n">
        <f aca="false">SUMPRODUCT($C$4:$C$31,L4:L31)</f>
        <v>650</v>
      </c>
      <c r="M33" s="22" t="n">
        <f aca="false">SUMPRODUCT($C$4:$C$31,M4:M31)</f>
        <v>650</v>
      </c>
      <c r="N33" s="22" t="n">
        <f aca="false">SUMPRODUCT($C$4:$C$31,N4:N31)</f>
        <v>650</v>
      </c>
      <c r="O33" s="22" t="n">
        <f aca="false">SUMPRODUCT($C$4:$C$31,O4:O31)</f>
        <v>650</v>
      </c>
      <c r="P33" s="22" t="n">
        <f aca="false">SUMPRODUCT($C$4:$C$31,P4:P31)</f>
        <v>650</v>
      </c>
    </row>
  </sheetData>
  <mergeCells count="3">
    <mergeCell ref="A1:P1"/>
    <mergeCell ref="R2:S2"/>
    <mergeCell ref="R7:S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3"/>
  </cols>
  <sheetData>
    <row r="1" customFormat="false" ht="15" hidden="false" customHeight="false" outlineLevel="0" collapsed="false">
      <c r="A1" s="13" t="s">
        <v>16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</row>
    <row r="2" customFormat="false" ht="15" hidden="false" customHeight="false" outlineLevel="0" collapsed="false">
      <c r="A2" s="8" t="s">
        <v>42</v>
      </c>
      <c r="B2" s="18" t="n">
        <v>3000</v>
      </c>
      <c r="C2" s="18" t="n">
        <v>4000</v>
      </c>
      <c r="D2" s="18" t="n">
        <v>350</v>
      </c>
      <c r="E2" s="23" t="n">
        <v>0.99</v>
      </c>
      <c r="F2" s="18" t="n">
        <v>10</v>
      </c>
    </row>
    <row r="3" customFormat="false" ht="15" hidden="false" customHeight="false" outlineLevel="0" collapsed="false">
      <c r="A3" s="8" t="s">
        <v>43</v>
      </c>
      <c r="B3" s="18" t="n">
        <v>3000</v>
      </c>
      <c r="C3" s="18" t="n">
        <v>4000</v>
      </c>
      <c r="D3" s="18" t="n">
        <v>350</v>
      </c>
      <c r="E3" s="23" t="n">
        <v>0.99</v>
      </c>
      <c r="F3" s="18" t="n">
        <v>10</v>
      </c>
    </row>
    <row r="4" customFormat="false" ht="15" hidden="false" customHeight="false" outlineLevel="0" collapsed="false">
      <c r="A4" s="8" t="s">
        <v>44</v>
      </c>
      <c r="B4" s="18" t="n">
        <v>3000</v>
      </c>
      <c r="C4" s="18" t="n">
        <v>4000</v>
      </c>
      <c r="D4" s="18" t="n">
        <v>350</v>
      </c>
      <c r="E4" s="23" t="n">
        <v>0.99</v>
      </c>
      <c r="F4" s="18" t="n">
        <v>10</v>
      </c>
    </row>
    <row r="5" customFormat="false" ht="15" hidden="false" customHeight="false" outlineLevel="0" collapsed="false">
      <c r="A5" s="8" t="s">
        <v>45</v>
      </c>
      <c r="B5" s="18" t="n">
        <v>3000</v>
      </c>
      <c r="C5" s="18" t="n">
        <v>4000</v>
      </c>
      <c r="D5" s="18" t="n">
        <v>350</v>
      </c>
      <c r="E5" s="23" t="n">
        <v>0.99</v>
      </c>
      <c r="F5" s="18" t="n">
        <v>10</v>
      </c>
    </row>
    <row r="6" customFormat="false" ht="15" hidden="false" customHeight="false" outlineLevel="0" collapsed="false">
      <c r="A6" s="8" t="s">
        <v>46</v>
      </c>
      <c r="B6" s="18" t="n">
        <v>3000</v>
      </c>
      <c r="C6" s="18" t="n">
        <v>4000</v>
      </c>
      <c r="D6" s="18" t="n">
        <v>350</v>
      </c>
      <c r="E6" s="23" t="n">
        <v>0.99</v>
      </c>
      <c r="F6" s="18" t="n">
        <v>10</v>
      </c>
    </row>
    <row r="7" customFormat="false" ht="15" hidden="false" customHeight="false" outlineLevel="0" collapsed="false">
      <c r="A7" s="8" t="s">
        <v>47</v>
      </c>
      <c r="B7" s="18" t="n">
        <v>3000</v>
      </c>
      <c r="C7" s="18" t="n">
        <v>4000</v>
      </c>
      <c r="D7" s="18" t="n">
        <v>350</v>
      </c>
      <c r="E7" s="23" t="n">
        <v>0.99</v>
      </c>
      <c r="F7" s="18" t="n">
        <v>10</v>
      </c>
    </row>
    <row r="8" customFormat="false" ht="15" hidden="false" customHeight="false" outlineLevel="0" collapsed="false">
      <c r="A8" s="8" t="s">
        <v>48</v>
      </c>
      <c r="B8" s="18" t="n">
        <v>3000</v>
      </c>
      <c r="C8" s="18" t="n">
        <v>4000</v>
      </c>
      <c r="D8" s="18" t="n">
        <v>350</v>
      </c>
      <c r="E8" s="23" t="n">
        <v>0.99</v>
      </c>
      <c r="F8" s="18" t="n">
        <v>10</v>
      </c>
    </row>
    <row r="9" customFormat="false" ht="15" hidden="false" customHeight="false" outlineLevel="0" collapsed="false">
      <c r="A9" s="8" t="s">
        <v>49</v>
      </c>
      <c r="B9" s="18" t="n">
        <v>3000</v>
      </c>
      <c r="C9" s="18" t="n">
        <v>4000</v>
      </c>
      <c r="D9" s="18" t="n">
        <v>350</v>
      </c>
      <c r="E9" s="23" t="n">
        <v>0.99</v>
      </c>
      <c r="F9" s="18" t="n">
        <v>10</v>
      </c>
    </row>
    <row r="10" customFormat="false" ht="15" hidden="false" customHeight="false" outlineLevel="0" collapsed="false">
      <c r="A10" s="8" t="s">
        <v>50</v>
      </c>
      <c r="B10" s="18" t="n">
        <v>3000</v>
      </c>
      <c r="C10" s="18" t="n">
        <v>4000</v>
      </c>
      <c r="D10" s="18" t="n">
        <v>350</v>
      </c>
      <c r="E10" s="23" t="n">
        <v>0.99</v>
      </c>
      <c r="F10" s="18" t="n">
        <v>10</v>
      </c>
    </row>
    <row r="11" customFormat="false" ht="15" hidden="false" customHeight="false" outlineLevel="0" collapsed="false">
      <c r="A11" s="8" t="s">
        <v>51</v>
      </c>
      <c r="B11" s="18" t="n">
        <v>3000</v>
      </c>
      <c r="C11" s="18" t="n">
        <v>4000</v>
      </c>
      <c r="D11" s="18" t="n">
        <v>350</v>
      </c>
      <c r="E11" s="23" t="n">
        <v>0.99</v>
      </c>
      <c r="F11" s="18" t="n">
        <v>10</v>
      </c>
    </row>
    <row r="12" customFormat="false" ht="15" hidden="false" customHeight="false" outlineLevel="0" collapsed="false">
      <c r="A12" s="8" t="s">
        <v>52</v>
      </c>
      <c r="B12" s="18" t="n">
        <v>3000</v>
      </c>
      <c r="C12" s="18" t="n">
        <v>4000</v>
      </c>
      <c r="D12" s="18" t="n">
        <v>350</v>
      </c>
      <c r="E12" s="23" t="n">
        <v>0.99</v>
      </c>
      <c r="F12" s="18" t="n">
        <v>10</v>
      </c>
    </row>
    <row r="13" customFormat="false" ht="15" hidden="false" customHeight="false" outlineLevel="0" collapsed="false">
      <c r="A13" s="8" t="s">
        <v>53</v>
      </c>
      <c r="B13" s="18" t="n">
        <v>3000</v>
      </c>
      <c r="C13" s="18" t="n">
        <v>4000</v>
      </c>
      <c r="D13" s="18" t="n">
        <v>350</v>
      </c>
      <c r="E13" s="23" t="n">
        <v>0.99</v>
      </c>
      <c r="F13" s="18" t="n">
        <v>10</v>
      </c>
    </row>
    <row r="14" customFormat="false" ht="15" hidden="false" customHeight="false" outlineLevel="0" collapsed="false">
      <c r="A14" s="8" t="s">
        <v>54</v>
      </c>
      <c r="B14" s="18" t="n">
        <v>3000</v>
      </c>
      <c r="C14" s="18" t="n">
        <v>4000</v>
      </c>
      <c r="D14" s="18" t="n">
        <v>350</v>
      </c>
      <c r="E14" s="23" t="n">
        <v>0.99</v>
      </c>
      <c r="F14" s="18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0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21.75" hidden="false" customHeight="true" outlineLevel="0" collapsed="false">
      <c r="A1" s="24" t="s">
        <v>76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customFormat="false" ht="15" hidden="false" customHeight="false" outlineLevel="0" collapsed="false">
      <c r="A2" s="25" t="s">
        <v>77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customFormat="false" ht="15" hidden="false" customHeight="false" outlineLevel="0" collapsed="false">
      <c r="A3" s="13" t="s">
        <v>78</v>
      </c>
      <c r="B3" s="15" t="s">
        <v>60</v>
      </c>
      <c r="C3" s="15" t="s">
        <v>43</v>
      </c>
      <c r="D3" s="15" t="s">
        <v>44</v>
      </c>
      <c r="E3" s="15" t="s">
        <v>45</v>
      </c>
      <c r="F3" s="15" t="s">
        <v>46</v>
      </c>
      <c r="G3" s="15" t="s">
        <v>47</v>
      </c>
      <c r="H3" s="15" t="s">
        <v>48</v>
      </c>
      <c r="I3" s="15" t="s">
        <v>49</v>
      </c>
      <c r="J3" s="15" t="s">
        <v>50</v>
      </c>
      <c r="K3" s="15" t="s">
        <v>51</v>
      </c>
      <c r="L3" s="15" t="s">
        <v>52</v>
      </c>
      <c r="M3" s="15" t="s">
        <v>53</v>
      </c>
      <c r="N3" s="15" t="s">
        <v>61</v>
      </c>
      <c r="O3" s="15" t="s">
        <v>79</v>
      </c>
      <c r="P3" s="15" t="s">
        <v>80</v>
      </c>
    </row>
    <row r="4" customFormat="false" ht="15" hidden="false" customHeight="false" outlineLevel="0" collapsed="false">
      <c r="A4" s="26" t="s">
        <v>81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customFormat="false" ht="15" hidden="false" customHeight="false" outlineLevel="0" collapsed="false">
      <c r="A5" s="28" t="s">
        <v>82</v>
      </c>
      <c r="B5" s="29" t="n">
        <f aca="false">Inputs_Monthly!B2+Inputs_Monthly!C2</f>
        <v>5000</v>
      </c>
      <c r="C5" s="29" t="n">
        <f aca="false">Inputs_Monthly!B3+Inputs_Monthly!C3</f>
        <v>5000</v>
      </c>
      <c r="D5" s="29" t="n">
        <f aca="false">Inputs_Monthly!B4+Inputs_Monthly!C4</f>
        <v>5000</v>
      </c>
      <c r="E5" s="29" t="n">
        <f aca="false">Inputs_Monthly!B5+Inputs_Monthly!C5</f>
        <v>5000</v>
      </c>
      <c r="F5" s="29" t="n">
        <f aca="false">Inputs_Monthly!B6+Inputs_Monthly!C6</f>
        <v>5000</v>
      </c>
      <c r="G5" s="29" t="n">
        <f aca="false">Inputs_Monthly!B7+Inputs_Monthly!C7</f>
        <v>5000</v>
      </c>
      <c r="H5" s="29" t="n">
        <f aca="false">Inputs_Monthly!B8+Inputs_Monthly!C8</f>
        <v>5000</v>
      </c>
      <c r="I5" s="29" t="n">
        <f aca="false">Inputs_Monthly!B9+Inputs_Monthly!C9</f>
        <v>5000</v>
      </c>
      <c r="J5" s="29" t="n">
        <f aca="false">Inputs_Monthly!B10+Inputs_Monthly!C10</f>
        <v>5000</v>
      </c>
      <c r="K5" s="29" t="n">
        <f aca="false">Inputs_Monthly!B11+Inputs_Monthly!C11</f>
        <v>5000</v>
      </c>
      <c r="L5" s="29" t="n">
        <f aca="false">Inputs_Monthly!B12+Inputs_Monthly!C12</f>
        <v>5000</v>
      </c>
      <c r="M5" s="29" t="n">
        <f aca="false">Inputs_Monthly!B13+Inputs_Monthly!C13</f>
        <v>5000</v>
      </c>
      <c r="N5" s="29" t="n">
        <f aca="false">Inputs_Monthly!B14+Inputs_Monthly!C14</f>
        <v>5000</v>
      </c>
      <c r="O5" s="30" t="n">
        <f aca="false">SUM(C5:N5)</f>
        <v>60000</v>
      </c>
      <c r="P5" s="30" t="n">
        <f aca="false">O5/12</f>
        <v>5000</v>
      </c>
    </row>
    <row r="6" customFormat="false" ht="15" hidden="false" customHeight="false" outlineLevel="0" collapsed="false">
      <c r="A6" s="28" t="s">
        <v>83</v>
      </c>
      <c r="B6" s="29" t="n">
        <f aca="false">Inputs_Monthly!G2+Inputs_Monthly!H2+Inputs_Monthly!I2</f>
        <v>156</v>
      </c>
      <c r="C6" s="29" t="n">
        <f aca="false">Inputs_Monthly!G3+Inputs_Monthly!H3+Inputs_Monthly!I3</f>
        <v>156</v>
      </c>
      <c r="D6" s="29" t="n">
        <f aca="false">Inputs_Monthly!G4+Inputs_Monthly!H4+Inputs_Monthly!I4</f>
        <v>156</v>
      </c>
      <c r="E6" s="29" t="n">
        <f aca="false">Inputs_Monthly!G5+Inputs_Monthly!H5+Inputs_Monthly!I5</f>
        <v>156</v>
      </c>
      <c r="F6" s="29" t="n">
        <f aca="false">Inputs_Monthly!G6+Inputs_Monthly!H6+Inputs_Monthly!I6</f>
        <v>156</v>
      </c>
      <c r="G6" s="29" t="n">
        <f aca="false">Inputs_Monthly!G7+Inputs_Monthly!H7+Inputs_Monthly!I7</f>
        <v>156</v>
      </c>
      <c r="H6" s="29" t="n">
        <f aca="false">Inputs_Monthly!G8+Inputs_Monthly!H8+Inputs_Monthly!I8</f>
        <v>156</v>
      </c>
      <c r="I6" s="29" t="n">
        <f aca="false">Inputs_Monthly!G9+Inputs_Monthly!H9+Inputs_Monthly!I9</f>
        <v>156</v>
      </c>
      <c r="J6" s="29" t="n">
        <f aca="false">Inputs_Monthly!G10+Inputs_Monthly!H10+Inputs_Monthly!I10</f>
        <v>156</v>
      </c>
      <c r="K6" s="29" t="n">
        <f aca="false">Inputs_Monthly!G11+Inputs_Monthly!H11+Inputs_Monthly!I11</f>
        <v>156</v>
      </c>
      <c r="L6" s="29" t="n">
        <f aca="false">Inputs_Monthly!G12+Inputs_Monthly!H12+Inputs_Monthly!I12</f>
        <v>156</v>
      </c>
      <c r="M6" s="29" t="n">
        <f aca="false">Inputs_Monthly!G13+Inputs_Monthly!H13+Inputs_Monthly!I13</f>
        <v>156</v>
      </c>
      <c r="N6" s="29" t="n">
        <f aca="false">Inputs_Monthly!G14+Inputs_Monthly!H14+Inputs_Monthly!I14</f>
        <v>156</v>
      </c>
      <c r="O6" s="30" t="n">
        <f aca="false">SUM(C6:N6)</f>
        <v>1872</v>
      </c>
      <c r="P6" s="30" t="n">
        <f aca="false">O6/12</f>
        <v>156</v>
      </c>
    </row>
    <row r="7" customFormat="false" ht="15" hidden="false" customHeight="false" outlineLevel="0" collapsed="false">
      <c r="A7" s="28" t="s">
        <v>84</v>
      </c>
      <c r="B7" s="29" t="n">
        <f aca="false">Inputs_Monthly!J2+Inputs_Monthly!K2</f>
        <v>-98</v>
      </c>
      <c r="C7" s="29" t="n">
        <f aca="false">Inputs_Monthly!J3+Inputs_Monthly!K3</f>
        <v>-98</v>
      </c>
      <c r="D7" s="29" t="n">
        <f aca="false">Inputs_Monthly!J4+Inputs_Monthly!K4</f>
        <v>-98</v>
      </c>
      <c r="E7" s="29" t="n">
        <f aca="false">Inputs_Monthly!J5+Inputs_Monthly!K5</f>
        <v>-98</v>
      </c>
      <c r="F7" s="29" t="n">
        <f aca="false">Inputs_Monthly!J6+Inputs_Monthly!K6</f>
        <v>-98</v>
      </c>
      <c r="G7" s="29" t="n">
        <f aca="false">Inputs_Monthly!J7+Inputs_Monthly!K7</f>
        <v>-98</v>
      </c>
      <c r="H7" s="29" t="n">
        <f aca="false">Inputs_Monthly!J8+Inputs_Monthly!K8</f>
        <v>-98</v>
      </c>
      <c r="I7" s="29" t="n">
        <f aca="false">Inputs_Monthly!J9+Inputs_Monthly!K9</f>
        <v>-98</v>
      </c>
      <c r="J7" s="29" t="n">
        <f aca="false">Inputs_Monthly!J10+Inputs_Monthly!K10</f>
        <v>-98</v>
      </c>
      <c r="K7" s="29" t="n">
        <f aca="false">Inputs_Monthly!J11+Inputs_Monthly!K11</f>
        <v>-98</v>
      </c>
      <c r="L7" s="29" t="n">
        <f aca="false">Inputs_Monthly!J12+Inputs_Monthly!K12</f>
        <v>-98</v>
      </c>
      <c r="M7" s="29" t="n">
        <f aca="false">Inputs_Monthly!J13+Inputs_Monthly!K13</f>
        <v>-98</v>
      </c>
      <c r="N7" s="29" t="n">
        <f aca="false">Inputs_Monthly!J14+Inputs_Monthly!K14</f>
        <v>-98</v>
      </c>
      <c r="O7" s="30" t="n">
        <f aca="false">SUM(C7:N7)</f>
        <v>-1176</v>
      </c>
      <c r="P7" s="30" t="n">
        <f aca="false">O7/12</f>
        <v>-98</v>
      </c>
    </row>
    <row r="8" customFormat="false" ht="15" hidden="false" customHeight="false" outlineLevel="0" collapsed="false">
      <c r="A8" s="28" t="s">
        <v>85</v>
      </c>
      <c r="B8" s="29" t="n">
        <f aca="false">Inputs_Monthly!D2+Inputs_Monthly!E2+Inputs_Monthly!F2</f>
        <v>-155</v>
      </c>
      <c r="C8" s="29" t="n">
        <f aca="false">Inputs_Monthly!D3+Inputs_Monthly!E3+Inputs_Monthly!F3</f>
        <v>-155</v>
      </c>
      <c r="D8" s="29" t="n">
        <f aca="false">Inputs_Monthly!D4+Inputs_Monthly!E4+Inputs_Monthly!F4</f>
        <v>-155</v>
      </c>
      <c r="E8" s="29" t="n">
        <f aca="false">Inputs_Monthly!D5+Inputs_Monthly!E5+Inputs_Monthly!F5</f>
        <v>-155</v>
      </c>
      <c r="F8" s="29" t="n">
        <f aca="false">Inputs_Monthly!D6+Inputs_Monthly!E6+Inputs_Monthly!F6</f>
        <v>-155</v>
      </c>
      <c r="G8" s="29" t="n">
        <f aca="false">Inputs_Monthly!D7+Inputs_Monthly!E7+Inputs_Monthly!F7</f>
        <v>-155</v>
      </c>
      <c r="H8" s="29" t="n">
        <f aca="false">Inputs_Monthly!D8+Inputs_Monthly!E8+Inputs_Monthly!F8</f>
        <v>-155</v>
      </c>
      <c r="I8" s="29" t="n">
        <f aca="false">Inputs_Monthly!D9+Inputs_Monthly!E9+Inputs_Monthly!F9</f>
        <v>-155</v>
      </c>
      <c r="J8" s="29" t="n">
        <f aca="false">Inputs_Monthly!D10+Inputs_Monthly!E10+Inputs_Monthly!F10</f>
        <v>-155</v>
      </c>
      <c r="K8" s="29" t="n">
        <f aca="false">Inputs_Monthly!D11+Inputs_Monthly!E11+Inputs_Monthly!F11</f>
        <v>-155</v>
      </c>
      <c r="L8" s="29" t="n">
        <f aca="false">Inputs_Monthly!D12+Inputs_Monthly!E12+Inputs_Monthly!F12</f>
        <v>-155</v>
      </c>
      <c r="M8" s="29" t="n">
        <f aca="false">Inputs_Monthly!D13+Inputs_Monthly!E13+Inputs_Monthly!F13</f>
        <v>-155</v>
      </c>
      <c r="N8" s="29" t="n">
        <f aca="false">Inputs_Monthly!D14+Inputs_Monthly!E14+Inputs_Monthly!F14</f>
        <v>-155</v>
      </c>
      <c r="O8" s="30" t="n">
        <f aca="false">SUM(C8:N8)</f>
        <v>-1860</v>
      </c>
      <c r="P8" s="30" t="n">
        <f aca="false">O8/12</f>
        <v>-155</v>
      </c>
    </row>
    <row r="9" customFormat="false" ht="15" hidden="false" customHeight="false" outlineLevel="0" collapsed="false">
      <c r="A9" s="31" t="s">
        <v>86</v>
      </c>
      <c r="B9" s="32" t="n">
        <f aca="false">SUM(B5:B8)</f>
        <v>4903</v>
      </c>
      <c r="C9" s="32" t="n">
        <f aca="false">SUM(C5:C8)</f>
        <v>4903</v>
      </c>
      <c r="D9" s="32" t="n">
        <f aca="false">SUM(D5:D8)</f>
        <v>4903</v>
      </c>
      <c r="E9" s="32" t="n">
        <f aca="false">SUM(E5:E8)</f>
        <v>4903</v>
      </c>
      <c r="F9" s="32" t="n">
        <f aca="false">SUM(F5:F8)</f>
        <v>4903</v>
      </c>
      <c r="G9" s="32" t="n">
        <f aca="false">SUM(G5:G8)</f>
        <v>4903</v>
      </c>
      <c r="H9" s="32" t="n">
        <f aca="false">SUM(H5:H8)</f>
        <v>4903</v>
      </c>
      <c r="I9" s="32" t="n">
        <f aca="false">SUM(I5:I8)</f>
        <v>4903</v>
      </c>
      <c r="J9" s="32" t="n">
        <f aca="false">SUM(J5:J8)</f>
        <v>4903</v>
      </c>
      <c r="K9" s="32" t="n">
        <f aca="false">SUM(K5:K8)</f>
        <v>4903</v>
      </c>
      <c r="L9" s="32" t="n">
        <f aca="false">SUM(L5:L8)</f>
        <v>4903</v>
      </c>
      <c r="M9" s="32" t="n">
        <f aca="false">SUM(M5:M8)</f>
        <v>4903</v>
      </c>
      <c r="N9" s="32" t="n">
        <f aca="false">SUM(N5:N8)</f>
        <v>4903</v>
      </c>
      <c r="O9" s="32" t="n">
        <f aca="false">SUM(C9:N9)</f>
        <v>58836</v>
      </c>
      <c r="P9" s="32" t="n">
        <f aca="false">O9/12</f>
        <v>4903</v>
      </c>
    </row>
    <row r="10" customFormat="false" ht="15" hidden="false" customHeight="false" outlineLevel="0" collapsed="false">
      <c r="A10" s="33" t="s">
        <v>87</v>
      </c>
      <c r="B10" s="34" t="n">
        <f aca="false">Inputs_Monthly!L2</f>
        <v>4903</v>
      </c>
      <c r="C10" s="34" t="n">
        <f aca="false">Inputs_Monthly!L3</f>
        <v>4903</v>
      </c>
      <c r="D10" s="34" t="n">
        <f aca="false">Inputs_Monthly!L4</f>
        <v>4903</v>
      </c>
      <c r="E10" s="34" t="n">
        <f aca="false">Inputs_Monthly!L5</f>
        <v>4903</v>
      </c>
      <c r="F10" s="34" t="n">
        <f aca="false">Inputs_Monthly!L6</f>
        <v>4903</v>
      </c>
      <c r="G10" s="34" t="n">
        <f aca="false">Inputs_Monthly!L7</f>
        <v>4903</v>
      </c>
      <c r="H10" s="34" t="n">
        <f aca="false">Inputs_Monthly!L8</f>
        <v>4903</v>
      </c>
      <c r="I10" s="34" t="n">
        <f aca="false">Inputs_Monthly!L9</f>
        <v>4903</v>
      </c>
      <c r="J10" s="34" t="n">
        <f aca="false">Inputs_Monthly!L10</f>
        <v>4903</v>
      </c>
      <c r="K10" s="34" t="n">
        <f aca="false">Inputs_Monthly!L11</f>
        <v>4903</v>
      </c>
      <c r="L10" s="34" t="n">
        <f aca="false">Inputs_Monthly!L12</f>
        <v>4903</v>
      </c>
      <c r="M10" s="34" t="n">
        <f aca="false">Inputs_Monthly!L13</f>
        <v>4903</v>
      </c>
      <c r="N10" s="34" t="n">
        <f aca="false">Inputs_Monthly!L14</f>
        <v>4903</v>
      </c>
    </row>
    <row r="11" customFormat="false" ht="15" hidden="false" customHeight="false" outlineLevel="0" collapsed="false">
      <c r="A11" s="35" t="s">
        <v>88</v>
      </c>
      <c r="B11" s="36" t="n">
        <f aca="false">B9-B10</f>
        <v>0</v>
      </c>
      <c r="C11" s="36" t="n">
        <f aca="false">C9-C10</f>
        <v>0</v>
      </c>
      <c r="D11" s="36" t="n">
        <f aca="false">D9-D10</f>
        <v>0</v>
      </c>
      <c r="E11" s="36" t="n">
        <f aca="false">E9-E10</f>
        <v>0</v>
      </c>
      <c r="F11" s="36" t="n">
        <f aca="false">F9-F10</f>
        <v>0</v>
      </c>
      <c r="G11" s="36" t="n">
        <f aca="false">G9-G10</f>
        <v>0</v>
      </c>
      <c r="H11" s="36" t="n">
        <f aca="false">H9-H10</f>
        <v>0</v>
      </c>
      <c r="I11" s="36" t="n">
        <f aca="false">I9-I10</f>
        <v>0</v>
      </c>
      <c r="J11" s="36" t="n">
        <f aca="false">J9-J10</f>
        <v>0</v>
      </c>
      <c r="K11" s="36" t="n">
        <f aca="false">K9-K10</f>
        <v>0</v>
      </c>
      <c r="L11" s="36" t="n">
        <f aca="false">L9-L10</f>
        <v>0</v>
      </c>
      <c r="M11" s="36" t="n">
        <f aca="false">M9-M10</f>
        <v>0</v>
      </c>
      <c r="N11" s="36" t="n">
        <f aca="false">N9-N10</f>
        <v>0</v>
      </c>
    </row>
    <row r="13" customFormat="false" ht="15" hidden="false" customHeight="false" outlineLevel="0" collapsed="false">
      <c r="A13" s="26" t="s">
        <v>89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customFormat="false" ht="15" hidden="false" customHeight="false" outlineLevel="0" collapsed="false">
      <c r="A14" s="28" t="s">
        <v>90</v>
      </c>
      <c r="B14" s="29" t="n">
        <f aca="false">(Inputs_Monthly!M2+Inputs_Monthly!N2+Inputs_Monthly!O2)/1.2</f>
        <v>-620.833333333333</v>
      </c>
      <c r="C14" s="29" t="n">
        <f aca="false">(Inputs_Monthly!M3+Inputs_Monthly!N3+Inputs_Monthly!O3)/1.2</f>
        <v>-620.833333333333</v>
      </c>
      <c r="D14" s="29" t="n">
        <f aca="false">(Inputs_Monthly!M4+Inputs_Monthly!N4+Inputs_Monthly!O4)/1.2</f>
        <v>-620.833333333333</v>
      </c>
      <c r="E14" s="29" t="n">
        <f aca="false">(Inputs_Monthly!M5+Inputs_Monthly!N5+Inputs_Monthly!O5)/1.2</f>
        <v>-620.833333333333</v>
      </c>
      <c r="F14" s="29" t="n">
        <f aca="false">(Inputs_Monthly!M6+Inputs_Monthly!N6+Inputs_Monthly!O6)/1.2</f>
        <v>-620.833333333333</v>
      </c>
      <c r="G14" s="29" t="n">
        <f aca="false">(Inputs_Monthly!M7+Inputs_Monthly!N7+Inputs_Monthly!O7)/1.2</f>
        <v>-620.833333333333</v>
      </c>
      <c r="H14" s="29" t="n">
        <f aca="false">(Inputs_Monthly!M8+Inputs_Monthly!N8+Inputs_Monthly!O8)/1.2</f>
        <v>-620.833333333333</v>
      </c>
      <c r="I14" s="29" t="n">
        <f aca="false">(Inputs_Monthly!M9+Inputs_Monthly!N9+Inputs_Monthly!O9)/1.2</f>
        <v>-620.833333333333</v>
      </c>
      <c r="J14" s="29" t="n">
        <f aca="false">(Inputs_Monthly!M10+Inputs_Monthly!N10+Inputs_Monthly!O10)/1.2</f>
        <v>-620.833333333333</v>
      </c>
      <c r="K14" s="29" t="n">
        <f aca="false">(Inputs_Monthly!M11+Inputs_Monthly!N11+Inputs_Monthly!O11)/1.2</f>
        <v>-620.833333333333</v>
      </c>
      <c r="L14" s="29" t="n">
        <f aca="false">(Inputs_Monthly!M12+Inputs_Monthly!N12+Inputs_Monthly!O12)/1.2</f>
        <v>-620.833333333333</v>
      </c>
      <c r="M14" s="29" t="n">
        <f aca="false">(Inputs_Monthly!M13+Inputs_Monthly!N13+Inputs_Monthly!O13)/1.2</f>
        <v>-620.833333333333</v>
      </c>
      <c r="N14" s="29" t="n">
        <f aca="false">(Inputs_Monthly!M14+Inputs_Monthly!N14+Inputs_Monthly!O14)/1.2</f>
        <v>-620.833333333333</v>
      </c>
      <c r="O14" s="30" t="n">
        <f aca="false">SUM(C14:N14)</f>
        <v>-7450</v>
      </c>
      <c r="P14" s="30" t="n">
        <f aca="false">O14/12</f>
        <v>-620.833333333333</v>
      </c>
    </row>
    <row r="15" customFormat="false" ht="15" hidden="false" customHeight="false" outlineLevel="0" collapsed="false">
      <c r="A15" s="28" t="s">
        <v>91</v>
      </c>
      <c r="B15" s="29" t="n">
        <f aca="false">(Inputs_Monthly!M2+Inputs_Monthly!N2+Inputs_Monthly!O2)-B14</f>
        <v>-124.166666666667</v>
      </c>
      <c r="C15" s="29" t="n">
        <f aca="false">(Inputs_Monthly!M3+Inputs_Monthly!N3+Inputs_Monthly!O3)-C14</f>
        <v>-124.166666666667</v>
      </c>
      <c r="D15" s="29" t="n">
        <f aca="false">(Inputs_Monthly!M4+Inputs_Monthly!N4+Inputs_Monthly!O4)-D14</f>
        <v>-124.166666666667</v>
      </c>
      <c r="E15" s="29" t="n">
        <f aca="false">(Inputs_Monthly!M5+Inputs_Monthly!N5+Inputs_Monthly!O5)-E14</f>
        <v>-124.166666666667</v>
      </c>
      <c r="F15" s="29" t="n">
        <f aca="false">(Inputs_Monthly!M6+Inputs_Monthly!N6+Inputs_Monthly!O6)-F14</f>
        <v>-124.166666666667</v>
      </c>
      <c r="G15" s="29" t="n">
        <f aca="false">(Inputs_Monthly!M7+Inputs_Monthly!N7+Inputs_Monthly!O7)-G14</f>
        <v>-124.166666666667</v>
      </c>
      <c r="H15" s="29" t="n">
        <f aca="false">(Inputs_Monthly!M8+Inputs_Monthly!N8+Inputs_Monthly!O8)-H14</f>
        <v>-124.166666666667</v>
      </c>
      <c r="I15" s="29" t="n">
        <f aca="false">(Inputs_Monthly!M9+Inputs_Monthly!N9+Inputs_Monthly!O9)-I14</f>
        <v>-124.166666666667</v>
      </c>
      <c r="J15" s="29" t="n">
        <f aca="false">(Inputs_Monthly!M10+Inputs_Monthly!N10+Inputs_Monthly!O10)-J14</f>
        <v>-124.166666666667</v>
      </c>
      <c r="K15" s="29" t="n">
        <f aca="false">(Inputs_Monthly!M11+Inputs_Monthly!N11+Inputs_Monthly!O11)-K14</f>
        <v>-124.166666666667</v>
      </c>
      <c r="L15" s="29" t="n">
        <f aca="false">(Inputs_Monthly!M12+Inputs_Monthly!N12+Inputs_Monthly!O12)-L14</f>
        <v>-124.166666666667</v>
      </c>
      <c r="M15" s="29" t="n">
        <f aca="false">(Inputs_Monthly!M13+Inputs_Monthly!N13+Inputs_Monthly!O13)-M14</f>
        <v>-124.166666666667</v>
      </c>
      <c r="N15" s="29" t="n">
        <f aca="false">(Inputs_Monthly!M14+Inputs_Monthly!N14+Inputs_Monthly!O14)-N14</f>
        <v>-124.166666666667</v>
      </c>
      <c r="O15" s="30" t="n">
        <f aca="false">SUM(C15:N15)</f>
        <v>-1490</v>
      </c>
      <c r="P15" s="30" t="n">
        <f aca="false">O15/12</f>
        <v>-124.166666666667</v>
      </c>
    </row>
    <row r="16" customFormat="false" ht="15" hidden="false" customHeight="false" outlineLevel="0" collapsed="false">
      <c r="A16" s="28" t="s">
        <v>92</v>
      </c>
      <c r="B16" s="29" t="n">
        <f aca="false">(Inputs_Monthly!P2+Inputs_Monthly!Q2)/1.2</f>
        <v>-997.5</v>
      </c>
      <c r="C16" s="29" t="n">
        <f aca="false">(Inputs_Monthly!P3+Inputs_Monthly!Q3)/1.2</f>
        <v>-997.5</v>
      </c>
      <c r="D16" s="29" t="n">
        <f aca="false">(Inputs_Monthly!P4+Inputs_Monthly!Q4)/1.2</f>
        <v>-997.5</v>
      </c>
      <c r="E16" s="29" t="n">
        <f aca="false">(Inputs_Monthly!P5+Inputs_Monthly!Q5)/1.2</f>
        <v>-997.5</v>
      </c>
      <c r="F16" s="29" t="n">
        <f aca="false">(Inputs_Monthly!P6+Inputs_Monthly!Q6)/1.2</f>
        <v>-997.5</v>
      </c>
      <c r="G16" s="29" t="n">
        <f aca="false">(Inputs_Monthly!P7+Inputs_Monthly!Q7)/1.2</f>
        <v>-997.5</v>
      </c>
      <c r="H16" s="29" t="n">
        <f aca="false">(Inputs_Monthly!P8+Inputs_Monthly!Q8)/1.2</f>
        <v>-997.5</v>
      </c>
      <c r="I16" s="29" t="n">
        <f aca="false">(Inputs_Monthly!P9+Inputs_Monthly!Q9)/1.2</f>
        <v>-997.5</v>
      </c>
      <c r="J16" s="29" t="n">
        <f aca="false">(Inputs_Monthly!P10+Inputs_Monthly!Q10)/1.2</f>
        <v>-997.5</v>
      </c>
      <c r="K16" s="29" t="n">
        <f aca="false">(Inputs_Monthly!P11+Inputs_Monthly!Q11)/1.2</f>
        <v>-997.5</v>
      </c>
      <c r="L16" s="29" t="n">
        <f aca="false">(Inputs_Monthly!P12+Inputs_Monthly!Q12)/1.2</f>
        <v>-997.5</v>
      </c>
      <c r="M16" s="29" t="n">
        <f aca="false">(Inputs_Monthly!P13+Inputs_Monthly!Q13)/1.2</f>
        <v>-997.5</v>
      </c>
      <c r="N16" s="29" t="n">
        <f aca="false">(Inputs_Monthly!P14+Inputs_Monthly!Q14)/1.2</f>
        <v>-997.5</v>
      </c>
      <c r="O16" s="30" t="n">
        <f aca="false">SUM(C16:N16)</f>
        <v>-11970</v>
      </c>
      <c r="P16" s="30" t="n">
        <f aca="false">O16/12</f>
        <v>-997.5</v>
      </c>
    </row>
    <row r="17" customFormat="false" ht="15" hidden="false" customHeight="false" outlineLevel="0" collapsed="false">
      <c r="A17" s="28" t="s">
        <v>93</v>
      </c>
      <c r="B17" s="29" t="n">
        <f aca="false">(Inputs_Monthly!P2+Inputs_Monthly!Q2)-B16</f>
        <v>-199.5</v>
      </c>
      <c r="C17" s="29" t="n">
        <f aca="false">(Inputs_Monthly!P3+Inputs_Monthly!Q3)-C16</f>
        <v>-199.5</v>
      </c>
      <c r="D17" s="29" t="n">
        <f aca="false">(Inputs_Monthly!P4+Inputs_Monthly!Q4)-D16</f>
        <v>-199.5</v>
      </c>
      <c r="E17" s="29" t="n">
        <f aca="false">(Inputs_Monthly!P5+Inputs_Monthly!Q5)-E16</f>
        <v>-199.5</v>
      </c>
      <c r="F17" s="29" t="n">
        <f aca="false">(Inputs_Monthly!P6+Inputs_Monthly!Q6)-F16</f>
        <v>-199.5</v>
      </c>
      <c r="G17" s="29" t="n">
        <f aca="false">(Inputs_Monthly!P7+Inputs_Monthly!Q7)-G16</f>
        <v>-199.5</v>
      </c>
      <c r="H17" s="29" t="n">
        <f aca="false">(Inputs_Monthly!P8+Inputs_Monthly!Q8)-H16</f>
        <v>-199.5</v>
      </c>
      <c r="I17" s="29" t="n">
        <f aca="false">(Inputs_Monthly!P9+Inputs_Monthly!Q9)-I16</f>
        <v>-199.5</v>
      </c>
      <c r="J17" s="29" t="n">
        <f aca="false">(Inputs_Monthly!P10+Inputs_Monthly!Q10)-J16</f>
        <v>-199.5</v>
      </c>
      <c r="K17" s="29" t="n">
        <f aca="false">(Inputs_Monthly!P11+Inputs_Monthly!Q11)-K16</f>
        <v>-199.5</v>
      </c>
      <c r="L17" s="29" t="n">
        <f aca="false">(Inputs_Monthly!P12+Inputs_Monthly!Q12)-L16</f>
        <v>-199.5</v>
      </c>
      <c r="M17" s="29" t="n">
        <f aca="false">(Inputs_Monthly!P13+Inputs_Monthly!Q13)-M16</f>
        <v>-199.5</v>
      </c>
      <c r="N17" s="29" t="n">
        <f aca="false">(Inputs_Monthly!P14+Inputs_Monthly!Q14)-N16</f>
        <v>-199.5</v>
      </c>
      <c r="O17" s="30" t="n">
        <f aca="false">SUM(C17:N17)</f>
        <v>-2394</v>
      </c>
      <c r="P17" s="30" t="n">
        <f aca="false">O17/12</f>
        <v>-199.5</v>
      </c>
    </row>
    <row r="18" customFormat="false" ht="15" hidden="false" customHeight="false" outlineLevel="0" collapsed="false">
      <c r="A18" s="28" t="s">
        <v>94</v>
      </c>
      <c r="B18" s="29" t="n">
        <f aca="false">Inputs_Monthly!T2</f>
        <v>-150</v>
      </c>
      <c r="C18" s="29" t="n">
        <f aca="false">Inputs_Monthly!T3</f>
        <v>-150</v>
      </c>
      <c r="D18" s="29" t="n">
        <f aca="false">Inputs_Monthly!T4</f>
        <v>-150</v>
      </c>
      <c r="E18" s="29" t="n">
        <f aca="false">Inputs_Monthly!T5</f>
        <v>-150</v>
      </c>
      <c r="F18" s="29" t="n">
        <f aca="false">Inputs_Monthly!T6</f>
        <v>-150</v>
      </c>
      <c r="G18" s="29" t="n">
        <f aca="false">Inputs_Monthly!T7</f>
        <v>-150</v>
      </c>
      <c r="H18" s="29" t="n">
        <f aca="false">Inputs_Monthly!T8</f>
        <v>-150</v>
      </c>
      <c r="I18" s="29" t="n">
        <f aca="false">Inputs_Monthly!T9</f>
        <v>-150</v>
      </c>
      <c r="J18" s="29" t="n">
        <f aca="false">Inputs_Monthly!T10</f>
        <v>-150</v>
      </c>
      <c r="K18" s="29" t="n">
        <f aca="false">Inputs_Monthly!T11</f>
        <v>-150</v>
      </c>
      <c r="L18" s="29" t="n">
        <f aca="false">Inputs_Monthly!T12</f>
        <v>-150</v>
      </c>
      <c r="M18" s="29" t="n">
        <f aca="false">Inputs_Monthly!T13</f>
        <v>-150</v>
      </c>
      <c r="N18" s="29" t="n">
        <f aca="false">Inputs_Monthly!T14</f>
        <v>-150</v>
      </c>
      <c r="O18" s="30" t="n">
        <f aca="false">SUM(C18:N18)</f>
        <v>-1800</v>
      </c>
      <c r="P18" s="30" t="n">
        <f aca="false">O18/12</f>
        <v>-150</v>
      </c>
    </row>
    <row r="19" customFormat="false" ht="15" hidden="false" customHeight="false" outlineLevel="0" collapsed="false">
      <c r="A19" s="28" t="s">
        <v>95</v>
      </c>
      <c r="B19" s="29" t="n">
        <f aca="false">Inputs_Monthly!R2+Inputs_Monthly!S2+Inputs_Monthly!U2+Inputs_Monthly!V2+Inputs_Monthly!W2+Inputs_Monthly!X2</f>
        <v>-71.5</v>
      </c>
      <c r="C19" s="29" t="n">
        <f aca="false">Inputs_Monthly!R3+Inputs_Monthly!S3+Inputs_Monthly!U3+Inputs_Monthly!V3+Inputs_Monthly!W3+Inputs_Monthly!X3</f>
        <v>-71.5</v>
      </c>
      <c r="D19" s="29" t="n">
        <f aca="false">Inputs_Monthly!R4+Inputs_Monthly!S4+Inputs_Monthly!U4+Inputs_Monthly!V4+Inputs_Monthly!W4+Inputs_Monthly!X4</f>
        <v>-71.5</v>
      </c>
      <c r="E19" s="29" t="n">
        <f aca="false">Inputs_Monthly!R5+Inputs_Monthly!S5+Inputs_Monthly!U5+Inputs_Monthly!V5+Inputs_Monthly!W5+Inputs_Monthly!X5</f>
        <v>-71.5</v>
      </c>
      <c r="F19" s="29" t="n">
        <f aca="false">Inputs_Monthly!R6+Inputs_Monthly!S6+Inputs_Monthly!U6+Inputs_Monthly!V6+Inputs_Monthly!W6+Inputs_Monthly!X6</f>
        <v>-71.5</v>
      </c>
      <c r="G19" s="29" t="n">
        <f aca="false">Inputs_Monthly!R7+Inputs_Monthly!S7+Inputs_Monthly!U7+Inputs_Monthly!V7+Inputs_Monthly!W7+Inputs_Monthly!X7</f>
        <v>-71.5</v>
      </c>
      <c r="H19" s="29" t="n">
        <f aca="false">Inputs_Monthly!R8+Inputs_Monthly!S8+Inputs_Monthly!U8+Inputs_Monthly!V8+Inputs_Monthly!W8+Inputs_Monthly!X8</f>
        <v>-71.5</v>
      </c>
      <c r="I19" s="29" t="n">
        <f aca="false">Inputs_Monthly!R9+Inputs_Monthly!S9+Inputs_Monthly!U9+Inputs_Monthly!V9+Inputs_Monthly!W9+Inputs_Monthly!X9</f>
        <v>-71.5</v>
      </c>
      <c r="J19" s="29" t="n">
        <f aca="false">Inputs_Monthly!R10+Inputs_Monthly!S10+Inputs_Monthly!U10+Inputs_Monthly!V10+Inputs_Monthly!W10+Inputs_Monthly!X10</f>
        <v>-71.5</v>
      </c>
      <c r="K19" s="29" t="n">
        <f aca="false">Inputs_Monthly!R11+Inputs_Monthly!S11+Inputs_Monthly!U11+Inputs_Monthly!V11+Inputs_Monthly!W11+Inputs_Monthly!X11</f>
        <v>-71.5</v>
      </c>
      <c r="L19" s="29" t="n">
        <f aca="false">Inputs_Monthly!R12+Inputs_Monthly!S12+Inputs_Monthly!U12+Inputs_Monthly!V12+Inputs_Monthly!W12+Inputs_Monthly!X12</f>
        <v>-71.5</v>
      </c>
      <c r="M19" s="29" t="n">
        <f aca="false">Inputs_Monthly!R13+Inputs_Monthly!S13+Inputs_Monthly!U13+Inputs_Monthly!V13+Inputs_Monthly!W13+Inputs_Monthly!X13</f>
        <v>-71.5</v>
      </c>
      <c r="N19" s="29" t="n">
        <f aca="false">Inputs_Monthly!R14+Inputs_Monthly!S14+Inputs_Monthly!U14+Inputs_Monthly!V14+Inputs_Monthly!W14+Inputs_Monthly!X14</f>
        <v>-71.5</v>
      </c>
      <c r="O19" s="30" t="n">
        <f aca="false">SUM(C19:N19)</f>
        <v>-858</v>
      </c>
      <c r="P19" s="30" t="n">
        <f aca="false">O19/12</f>
        <v>-71.5</v>
      </c>
    </row>
    <row r="20" customFormat="false" ht="15" hidden="false" customHeight="false" outlineLevel="0" collapsed="false">
      <c r="A20" s="31" t="s">
        <v>96</v>
      </c>
      <c r="B20" s="32" t="n">
        <f aca="false">SUM(B14:B19)</f>
        <v>-2163.5</v>
      </c>
      <c r="C20" s="32" t="n">
        <f aca="false">SUM(C14:C19)</f>
        <v>-2163.5</v>
      </c>
      <c r="D20" s="32" t="n">
        <f aca="false">SUM(D14:D19)</f>
        <v>-2163.5</v>
      </c>
      <c r="E20" s="32" t="n">
        <f aca="false">SUM(E14:E19)</f>
        <v>-2163.5</v>
      </c>
      <c r="F20" s="32" t="n">
        <f aca="false">SUM(F14:F19)</f>
        <v>-2163.5</v>
      </c>
      <c r="G20" s="32" t="n">
        <f aca="false">SUM(G14:G19)</f>
        <v>-2163.5</v>
      </c>
      <c r="H20" s="32" t="n">
        <f aca="false">SUM(H14:H19)</f>
        <v>-2163.5</v>
      </c>
      <c r="I20" s="32" t="n">
        <f aca="false">SUM(I14:I19)</f>
        <v>-2163.5</v>
      </c>
      <c r="J20" s="32" t="n">
        <f aca="false">SUM(J14:J19)</f>
        <v>-2163.5</v>
      </c>
      <c r="K20" s="32" t="n">
        <f aca="false">SUM(K14:K19)</f>
        <v>-2163.5</v>
      </c>
      <c r="L20" s="32" t="n">
        <f aca="false">SUM(L14:L19)</f>
        <v>-2163.5</v>
      </c>
      <c r="M20" s="32" t="n">
        <f aca="false">SUM(M14:M19)</f>
        <v>-2163.5</v>
      </c>
      <c r="N20" s="32" t="n">
        <f aca="false">SUM(N14:N19)</f>
        <v>-2163.5</v>
      </c>
      <c r="O20" s="32" t="n">
        <f aca="false">SUM(C20:N20)</f>
        <v>-25962</v>
      </c>
      <c r="P20" s="32" t="n">
        <f aca="false">O20/12</f>
        <v>-2163.5</v>
      </c>
    </row>
    <row r="22" customFormat="false" ht="15" hidden="false" customHeight="false" outlineLevel="0" collapsed="false">
      <c r="A22" s="26" t="s">
        <v>97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customFormat="false" ht="15" hidden="false" customHeight="false" outlineLevel="0" collapsed="false">
      <c r="A23" s="28" t="s">
        <v>98</v>
      </c>
      <c r="B23" s="29" t="n">
        <f aca="false">Inputs_Monthly!Y2/1.2</f>
        <v>-500</v>
      </c>
      <c r="C23" s="29" t="n">
        <f aca="false">Inputs_Monthly!Y3/1.2</f>
        <v>-500</v>
      </c>
      <c r="D23" s="29" t="n">
        <f aca="false">Inputs_Monthly!Y4/1.2</f>
        <v>-500</v>
      </c>
      <c r="E23" s="29" t="n">
        <f aca="false">Inputs_Monthly!Y5/1.2</f>
        <v>-500</v>
      </c>
      <c r="F23" s="29" t="n">
        <f aca="false">Inputs_Monthly!Y6/1.2</f>
        <v>-500</v>
      </c>
      <c r="G23" s="29" t="n">
        <f aca="false">Inputs_Monthly!Y7/1.2</f>
        <v>-500</v>
      </c>
      <c r="H23" s="29" t="n">
        <f aca="false">Inputs_Monthly!Y8/1.2</f>
        <v>-500</v>
      </c>
      <c r="I23" s="29" t="n">
        <f aca="false">Inputs_Monthly!Y9/1.2</f>
        <v>-500</v>
      </c>
      <c r="J23" s="29" t="n">
        <f aca="false">Inputs_Monthly!Y10/1.2</f>
        <v>-500</v>
      </c>
      <c r="K23" s="29" t="n">
        <f aca="false">Inputs_Monthly!Y11/1.2</f>
        <v>-500</v>
      </c>
      <c r="L23" s="29" t="n">
        <f aca="false">Inputs_Monthly!Y12/1.2</f>
        <v>-500</v>
      </c>
      <c r="M23" s="29" t="n">
        <f aca="false">Inputs_Monthly!Y13/1.2</f>
        <v>-500</v>
      </c>
      <c r="N23" s="29" t="n">
        <f aca="false">Inputs_Monthly!Y14/1.2</f>
        <v>-500</v>
      </c>
      <c r="O23" s="30" t="n">
        <f aca="false">SUM(C23:N23)</f>
        <v>-6000</v>
      </c>
      <c r="P23" s="30" t="n">
        <f aca="false">O23/12</f>
        <v>-500</v>
      </c>
    </row>
    <row r="24" customFormat="false" ht="15" hidden="false" customHeight="false" outlineLevel="0" collapsed="false">
      <c r="A24" s="28" t="s">
        <v>99</v>
      </c>
      <c r="B24" s="29" t="n">
        <f aca="false">Inputs_Monthly!Y2-B23</f>
        <v>-100</v>
      </c>
      <c r="C24" s="29" t="n">
        <f aca="false">Inputs_Monthly!Y3-C23</f>
        <v>-100</v>
      </c>
      <c r="D24" s="29" t="n">
        <f aca="false">Inputs_Monthly!Y4-D23</f>
        <v>-100</v>
      </c>
      <c r="E24" s="29" t="n">
        <f aca="false">Inputs_Monthly!Y5-E23</f>
        <v>-100</v>
      </c>
      <c r="F24" s="29" t="n">
        <f aca="false">Inputs_Monthly!Y6-F23</f>
        <v>-100</v>
      </c>
      <c r="G24" s="29" t="n">
        <f aca="false">Inputs_Monthly!Y7-G23</f>
        <v>-100</v>
      </c>
      <c r="H24" s="29" t="n">
        <f aca="false">Inputs_Monthly!Y8-H23</f>
        <v>-100</v>
      </c>
      <c r="I24" s="29" t="n">
        <f aca="false">Inputs_Monthly!Y9-I23</f>
        <v>-100</v>
      </c>
      <c r="J24" s="29" t="n">
        <f aca="false">Inputs_Monthly!Y10-J23</f>
        <v>-100</v>
      </c>
      <c r="K24" s="29" t="n">
        <f aca="false">Inputs_Monthly!Y11-K23</f>
        <v>-100</v>
      </c>
      <c r="L24" s="29" t="n">
        <f aca="false">Inputs_Monthly!Y12-L23</f>
        <v>-100</v>
      </c>
      <c r="M24" s="29" t="n">
        <f aca="false">Inputs_Monthly!Y13-M23</f>
        <v>-100</v>
      </c>
      <c r="N24" s="29" t="n">
        <f aca="false">Inputs_Monthly!Y14-N23</f>
        <v>-100</v>
      </c>
      <c r="O24" s="30" t="n">
        <f aca="false">SUM(C24:N24)</f>
        <v>-1200</v>
      </c>
      <c r="P24" s="30" t="n">
        <f aca="false">O24/12</f>
        <v>-100</v>
      </c>
    </row>
    <row r="25" customFormat="false" ht="15" hidden="false" customHeight="false" outlineLevel="0" collapsed="false">
      <c r="A25" s="31" t="s">
        <v>100</v>
      </c>
      <c r="B25" s="32" t="n">
        <f aca="false">B23+B24</f>
        <v>-600</v>
      </c>
      <c r="C25" s="32" t="n">
        <f aca="false">C23+C24</f>
        <v>-600</v>
      </c>
      <c r="D25" s="32" t="n">
        <f aca="false">D23+D24</f>
        <v>-600</v>
      </c>
      <c r="E25" s="32" t="n">
        <f aca="false">E23+E24</f>
        <v>-600</v>
      </c>
      <c r="F25" s="32" t="n">
        <f aca="false">F23+F24</f>
        <v>-600</v>
      </c>
      <c r="G25" s="32" t="n">
        <f aca="false">G23+G24</f>
        <v>-600</v>
      </c>
      <c r="H25" s="32" t="n">
        <f aca="false">H23+H24</f>
        <v>-600</v>
      </c>
      <c r="I25" s="32" t="n">
        <f aca="false">I23+I24</f>
        <v>-600</v>
      </c>
      <c r="J25" s="32" t="n">
        <f aca="false">J23+J24</f>
        <v>-600</v>
      </c>
      <c r="K25" s="32" t="n">
        <f aca="false">K23+K24</f>
        <v>-600</v>
      </c>
      <c r="L25" s="32" t="n">
        <f aca="false">L23+L24</f>
        <v>-600</v>
      </c>
      <c r="M25" s="32" t="n">
        <f aca="false">M23+M24</f>
        <v>-600</v>
      </c>
      <c r="N25" s="32" t="n">
        <f aca="false">N23+N24</f>
        <v>-600</v>
      </c>
      <c r="O25" s="32" t="n">
        <f aca="false">SUM(C25:N25)</f>
        <v>-7200</v>
      </c>
      <c r="P25" s="32" t="n">
        <f aca="false">O25/12</f>
        <v>-600</v>
      </c>
    </row>
    <row r="26" customFormat="false" ht="15" hidden="false" customHeight="false" outlineLevel="0" collapsed="false">
      <c r="A26" s="33" t="s">
        <v>101</v>
      </c>
      <c r="B26" s="34" t="n">
        <f aca="false">Inputs_Monthly!Z2</f>
        <v>-2763.5</v>
      </c>
      <c r="C26" s="34" t="n">
        <f aca="false">Inputs_Monthly!Z3</f>
        <v>-2763.5</v>
      </c>
      <c r="D26" s="34" t="n">
        <f aca="false">Inputs_Monthly!Z4</f>
        <v>-2763.5</v>
      </c>
      <c r="E26" s="34" t="n">
        <f aca="false">Inputs_Monthly!Z5</f>
        <v>-2763.5</v>
      </c>
      <c r="F26" s="34" t="n">
        <f aca="false">Inputs_Monthly!Z6</f>
        <v>-2763.5</v>
      </c>
      <c r="G26" s="34" t="n">
        <f aca="false">Inputs_Monthly!Z7</f>
        <v>-2763.5</v>
      </c>
      <c r="H26" s="34" t="n">
        <f aca="false">Inputs_Monthly!Z8</f>
        <v>-2763.5</v>
      </c>
      <c r="I26" s="34" t="n">
        <f aca="false">Inputs_Monthly!Z9</f>
        <v>-2763.5</v>
      </c>
      <c r="J26" s="34" t="n">
        <f aca="false">Inputs_Monthly!Z10</f>
        <v>-2763.5</v>
      </c>
      <c r="K26" s="34" t="n">
        <f aca="false">Inputs_Monthly!Z11</f>
        <v>-2763.5</v>
      </c>
      <c r="L26" s="34" t="n">
        <f aca="false">Inputs_Monthly!Z12</f>
        <v>-2763.5</v>
      </c>
      <c r="M26" s="34" t="n">
        <f aca="false">Inputs_Monthly!Z13</f>
        <v>-2763.5</v>
      </c>
      <c r="N26" s="34" t="n">
        <f aca="false">Inputs_Monthly!Z14</f>
        <v>-2763.5</v>
      </c>
    </row>
    <row r="27" customFormat="false" ht="15" hidden="false" customHeight="false" outlineLevel="0" collapsed="false">
      <c r="A27" s="35" t="s">
        <v>88</v>
      </c>
      <c r="B27" s="36" t="n">
        <f aca="false">(B20+B25)-B26</f>
        <v>0</v>
      </c>
      <c r="C27" s="36" t="n">
        <f aca="false">(C20+C25)-C26</f>
        <v>0</v>
      </c>
      <c r="D27" s="36" t="n">
        <f aca="false">(D20+D25)-D26</f>
        <v>0</v>
      </c>
      <c r="E27" s="36" t="n">
        <f aca="false">(E20+E25)-E26</f>
        <v>0</v>
      </c>
      <c r="F27" s="36" t="n">
        <f aca="false">(F20+F25)-F26</f>
        <v>0</v>
      </c>
      <c r="G27" s="36" t="n">
        <f aca="false">(G20+G25)-G26</f>
        <v>0</v>
      </c>
      <c r="H27" s="36" t="n">
        <f aca="false">(H20+H25)-H26</f>
        <v>0</v>
      </c>
      <c r="I27" s="36" t="n">
        <f aca="false">(I20+I25)-I26</f>
        <v>0</v>
      </c>
      <c r="J27" s="36" t="n">
        <f aca="false">(J20+J25)-J26</f>
        <v>0</v>
      </c>
      <c r="K27" s="36" t="n">
        <f aca="false">(K20+K25)-K26</f>
        <v>0</v>
      </c>
      <c r="L27" s="36" t="n">
        <f aca="false">(L20+L25)-L26</f>
        <v>0</v>
      </c>
      <c r="M27" s="36" t="n">
        <f aca="false">(M20+M25)-M26</f>
        <v>0</v>
      </c>
      <c r="N27" s="36" t="n">
        <f aca="false">(N20+N25)-N26</f>
        <v>0</v>
      </c>
    </row>
    <row r="29" customFormat="false" ht="15" hidden="false" customHeight="false" outlineLevel="0" collapsed="false">
      <c r="A29" s="26" t="s">
        <v>102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customFormat="false" ht="15" hidden="false" customHeight="false" outlineLevel="0" collapsed="false">
      <c r="A30" s="28" t="s">
        <v>103</v>
      </c>
      <c r="B30" s="37" t="n">
        <f aca="false">Inputs_Units!D32</f>
        <v>350</v>
      </c>
      <c r="C30" s="37" t="n">
        <f aca="false">Inputs_Units!E32</f>
        <v>350</v>
      </c>
      <c r="D30" s="37" t="n">
        <f aca="false">Inputs_Units!F32</f>
        <v>350</v>
      </c>
      <c r="E30" s="37" t="n">
        <f aca="false">Inputs_Units!G32</f>
        <v>350</v>
      </c>
      <c r="F30" s="37" t="n">
        <f aca="false">Inputs_Units!H32</f>
        <v>350</v>
      </c>
      <c r="G30" s="37" t="n">
        <f aca="false">Inputs_Units!I32</f>
        <v>350</v>
      </c>
      <c r="H30" s="37" t="n">
        <f aca="false">Inputs_Units!J32</f>
        <v>350</v>
      </c>
      <c r="I30" s="37" t="n">
        <f aca="false">Inputs_Units!K32</f>
        <v>350</v>
      </c>
      <c r="J30" s="37" t="n">
        <f aca="false">Inputs_Units!L32</f>
        <v>350</v>
      </c>
      <c r="K30" s="37" t="n">
        <f aca="false">Inputs_Units!M32</f>
        <v>350</v>
      </c>
      <c r="L30" s="37" t="n">
        <f aca="false">Inputs_Units!N32</f>
        <v>350</v>
      </c>
      <c r="M30" s="37" t="n">
        <f aca="false">Inputs_Units!O32</f>
        <v>350</v>
      </c>
      <c r="N30" s="37" t="n">
        <f aca="false">Inputs_Units!P32</f>
        <v>350</v>
      </c>
      <c r="O30" s="38" t="n">
        <f aca="false">SUM(C30:N30)</f>
        <v>4200</v>
      </c>
      <c r="P30" s="38" t="n">
        <f aca="false">O30/12</f>
        <v>350</v>
      </c>
    </row>
    <row r="31" customFormat="false" ht="15" hidden="false" customHeight="false" outlineLevel="0" collapsed="false">
      <c r="A31" s="28" t="s">
        <v>104</v>
      </c>
      <c r="B31" s="39" t="n">
        <f aca="false">IFERROR(B5/B30,0)</f>
        <v>14.2857142857143</v>
      </c>
      <c r="C31" s="39" t="n">
        <f aca="false">IFERROR(C5/C30,0)</f>
        <v>14.2857142857143</v>
      </c>
      <c r="D31" s="39" t="n">
        <f aca="false">IFERROR(D5/D30,0)</f>
        <v>14.2857142857143</v>
      </c>
      <c r="E31" s="39" t="n">
        <f aca="false">IFERROR(E5/E30,0)</f>
        <v>14.2857142857143</v>
      </c>
      <c r="F31" s="39" t="n">
        <f aca="false">IFERROR(F5/F30,0)</f>
        <v>14.2857142857143</v>
      </c>
      <c r="G31" s="39" t="n">
        <f aca="false">IFERROR(G5/G30,0)</f>
        <v>14.2857142857143</v>
      </c>
      <c r="H31" s="39" t="n">
        <f aca="false">IFERROR(H5/H30,0)</f>
        <v>14.2857142857143</v>
      </c>
      <c r="I31" s="39" t="n">
        <f aca="false">IFERROR(I5/I30,0)</f>
        <v>14.2857142857143</v>
      </c>
      <c r="J31" s="39" t="n">
        <f aca="false">IFERROR(J5/J30,0)</f>
        <v>14.2857142857143</v>
      </c>
      <c r="K31" s="39" t="n">
        <f aca="false">IFERROR(K5/K30,0)</f>
        <v>14.2857142857143</v>
      </c>
      <c r="L31" s="39" t="n">
        <f aca="false">IFERROR(L5/L30,0)</f>
        <v>14.2857142857143</v>
      </c>
      <c r="M31" s="39" t="n">
        <f aca="false">IFERROR(M5/M30,0)</f>
        <v>14.2857142857143</v>
      </c>
      <c r="N31" s="39" t="n">
        <f aca="false">IFERROR(N5/N30,0)</f>
        <v>14.2857142857143</v>
      </c>
    </row>
    <row r="32" customFormat="false" ht="15" hidden="false" customHeight="false" outlineLevel="0" collapsed="false">
      <c r="A32" s="28" t="s">
        <v>105</v>
      </c>
      <c r="B32" s="29" t="n">
        <f aca="false">-Inputs_Units!D33</f>
        <v>-650</v>
      </c>
      <c r="C32" s="29" t="n">
        <f aca="false">-Inputs_Units!E33</f>
        <v>-650</v>
      </c>
      <c r="D32" s="29" t="n">
        <f aca="false">-Inputs_Units!F33</f>
        <v>-650</v>
      </c>
      <c r="E32" s="29" t="n">
        <f aca="false">-Inputs_Units!G33</f>
        <v>-650</v>
      </c>
      <c r="F32" s="29" t="n">
        <f aca="false">-Inputs_Units!H33</f>
        <v>-650</v>
      </c>
      <c r="G32" s="29" t="n">
        <f aca="false">-Inputs_Units!I33</f>
        <v>-650</v>
      </c>
      <c r="H32" s="29" t="n">
        <f aca="false">-Inputs_Units!J33</f>
        <v>-650</v>
      </c>
      <c r="I32" s="29" t="n">
        <f aca="false">-Inputs_Units!K33</f>
        <v>-650</v>
      </c>
      <c r="J32" s="29" t="n">
        <f aca="false">-Inputs_Units!L33</f>
        <v>-650</v>
      </c>
      <c r="K32" s="29" t="n">
        <f aca="false">-Inputs_Units!M33</f>
        <v>-650</v>
      </c>
      <c r="L32" s="29" t="n">
        <f aca="false">-Inputs_Units!N33</f>
        <v>-650</v>
      </c>
      <c r="M32" s="29" t="n">
        <f aca="false">-Inputs_Units!O33</f>
        <v>-650</v>
      </c>
      <c r="N32" s="29" t="n">
        <f aca="false">-Inputs_Units!P33</f>
        <v>-650</v>
      </c>
      <c r="O32" s="30" t="n">
        <f aca="false">SUM(C32:N32)</f>
        <v>-7800</v>
      </c>
      <c r="P32" s="30" t="n">
        <f aca="false">O32/12</f>
        <v>-650</v>
      </c>
    </row>
    <row r="33" customFormat="false" ht="15" hidden="false" customHeight="false" outlineLevel="0" collapsed="false">
      <c r="A33" s="28" t="s">
        <v>106</v>
      </c>
      <c r="B33" s="30" t="n">
        <f aca="false">-B9/6*$B$45</f>
        <v>-0</v>
      </c>
      <c r="C33" s="30" t="n">
        <f aca="false">-C9/6*$B$45</f>
        <v>-0</v>
      </c>
      <c r="D33" s="30" t="n">
        <f aca="false">-D9/6*$B$45</f>
        <v>-0</v>
      </c>
      <c r="E33" s="30" t="n">
        <f aca="false">-E9/6*$B$45</f>
        <v>-0</v>
      </c>
      <c r="F33" s="30" t="n">
        <f aca="false">-F9/6*$B$45</f>
        <v>-0</v>
      </c>
      <c r="G33" s="30" t="n">
        <f aca="false">-G9/6*$B$45</f>
        <v>-0</v>
      </c>
      <c r="H33" s="30" t="n">
        <f aca="false">-H9/6*$B$45</f>
        <v>-0</v>
      </c>
      <c r="I33" s="30" t="n">
        <f aca="false">-I9/6*$B$45</f>
        <v>-0</v>
      </c>
      <c r="J33" s="30" t="n">
        <f aca="false">-J9/6*$B$45</f>
        <v>-0</v>
      </c>
      <c r="K33" s="30" t="n">
        <f aca="false">-K9/6*$B$45</f>
        <v>-0</v>
      </c>
      <c r="L33" s="30" t="n">
        <f aca="false">-L9/6*$B$45</f>
        <v>-0</v>
      </c>
      <c r="M33" s="30" t="n">
        <f aca="false">-M9/6*$B$45</f>
        <v>-0</v>
      </c>
      <c r="N33" s="30" t="n">
        <f aca="false">-N9/6*$B$45</f>
        <v>-0</v>
      </c>
      <c r="O33" s="30" t="n">
        <f aca="false">SUM(C33:N33)</f>
        <v>0</v>
      </c>
      <c r="P33" s="30" t="n">
        <f aca="false">O33/12</f>
        <v>0</v>
      </c>
    </row>
    <row r="34" customFormat="false" ht="15" hidden="false" customHeight="false" outlineLevel="0" collapsed="false">
      <c r="A34" s="28" t="s">
        <v>107</v>
      </c>
      <c r="B34" s="30" t="n">
        <f aca="false">-$B$44</f>
        <v>-0</v>
      </c>
      <c r="C34" s="30" t="n">
        <f aca="false">-$B$44</f>
        <v>-0</v>
      </c>
      <c r="D34" s="30" t="n">
        <f aca="false">-$B$44</f>
        <v>-0</v>
      </c>
      <c r="E34" s="30" t="n">
        <f aca="false">-$B$44</f>
        <v>-0</v>
      </c>
      <c r="F34" s="30" t="n">
        <f aca="false">-$B$44</f>
        <v>-0</v>
      </c>
      <c r="G34" s="30" t="n">
        <f aca="false">-$B$44</f>
        <v>-0</v>
      </c>
      <c r="H34" s="30" t="n">
        <f aca="false">-$B$44</f>
        <v>-0</v>
      </c>
      <c r="I34" s="30" t="n">
        <f aca="false">-$B$44</f>
        <v>-0</v>
      </c>
      <c r="J34" s="30" t="n">
        <f aca="false">-$B$44</f>
        <v>-0</v>
      </c>
      <c r="K34" s="30" t="n">
        <f aca="false">-$B$44</f>
        <v>-0</v>
      </c>
      <c r="L34" s="30" t="n">
        <f aca="false">-$B$44</f>
        <v>-0</v>
      </c>
      <c r="M34" s="30" t="n">
        <f aca="false">-$B$44</f>
        <v>-0</v>
      </c>
      <c r="N34" s="30" t="n">
        <f aca="false">-$B$44</f>
        <v>-0</v>
      </c>
      <c r="O34" s="30" t="n">
        <f aca="false">SUM(C34:N34)</f>
        <v>0</v>
      </c>
      <c r="P34" s="30" t="n">
        <f aca="false">O34/12</f>
        <v>0</v>
      </c>
    </row>
    <row r="35" customFormat="false" ht="15" hidden="false" customHeight="false" outlineLevel="0" collapsed="false">
      <c r="A35" s="26" t="s">
        <v>108</v>
      </c>
      <c r="B35" s="40" t="n">
        <f aca="false">B9+B20+B25+B32+B33+B34</f>
        <v>1489.5</v>
      </c>
      <c r="C35" s="40" t="n">
        <f aca="false">C9+C20+C25+C32+C33+C34</f>
        <v>1489.5</v>
      </c>
      <c r="D35" s="40" t="n">
        <f aca="false">D9+D20+D25+D32+D33+D34</f>
        <v>1489.5</v>
      </c>
      <c r="E35" s="40" t="n">
        <f aca="false">E9+E20+E25+E32+E33+E34</f>
        <v>1489.5</v>
      </c>
      <c r="F35" s="40" t="n">
        <f aca="false">F9+F20+F25+F32+F33+F34</f>
        <v>1489.5</v>
      </c>
      <c r="G35" s="40" t="n">
        <f aca="false">G9+G20+G25+G32+G33+G34</f>
        <v>1489.5</v>
      </c>
      <c r="H35" s="40" t="n">
        <f aca="false">H9+H20+H25+H32+H33+H34</f>
        <v>1489.5</v>
      </c>
      <c r="I35" s="40" t="n">
        <f aca="false">I9+I20+I25+I32+I33+I34</f>
        <v>1489.5</v>
      </c>
      <c r="J35" s="40" t="n">
        <f aca="false">J9+J20+J25+J32+J33+J34</f>
        <v>1489.5</v>
      </c>
      <c r="K35" s="40" t="n">
        <f aca="false">K9+K20+K25+K32+K33+K34</f>
        <v>1489.5</v>
      </c>
      <c r="L35" s="40" t="n">
        <f aca="false">L9+L20+L25+L32+L33+L34</f>
        <v>1489.5</v>
      </c>
      <c r="M35" s="40" t="n">
        <f aca="false">M9+M20+M25+M32+M33+M34</f>
        <v>1489.5</v>
      </c>
      <c r="N35" s="40" t="n">
        <f aca="false">N9+N20+N25+N32+N33+N34</f>
        <v>1489.5</v>
      </c>
      <c r="O35" s="40" t="n">
        <f aca="false">SUM(C35:N35)</f>
        <v>17874</v>
      </c>
      <c r="P35" s="40" t="n">
        <f aca="false">O35/12</f>
        <v>1489.5</v>
      </c>
    </row>
    <row r="36" customFormat="false" ht="15" hidden="false" customHeight="false" outlineLevel="0" collapsed="false">
      <c r="A36" s="26" t="s">
        <v>109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customFormat="false" ht="15" hidden="false" customHeight="false" outlineLevel="0" collapsed="false">
      <c r="A37" s="28" t="s">
        <v>110</v>
      </c>
      <c r="B37" s="41" t="n">
        <f aca="false">IFERROR(-B25/B9,0)</f>
        <v>0.12237405669998</v>
      </c>
      <c r="C37" s="41" t="n">
        <f aca="false">IFERROR(-C25/C9,0)</f>
        <v>0.12237405669998</v>
      </c>
      <c r="D37" s="41" t="n">
        <f aca="false">IFERROR(-D25/D9,0)</f>
        <v>0.12237405669998</v>
      </c>
      <c r="E37" s="41" t="n">
        <f aca="false">IFERROR(-E25/E9,0)</f>
        <v>0.12237405669998</v>
      </c>
      <c r="F37" s="41" t="n">
        <f aca="false">IFERROR(-F25/F9,0)</f>
        <v>0.12237405669998</v>
      </c>
      <c r="G37" s="41" t="n">
        <f aca="false">IFERROR(-G25/G9,0)</f>
        <v>0.12237405669998</v>
      </c>
      <c r="H37" s="41" t="n">
        <f aca="false">IFERROR(-H25/H9,0)</f>
        <v>0.12237405669998</v>
      </c>
      <c r="I37" s="41" t="n">
        <f aca="false">IFERROR(-I25/I9,0)</f>
        <v>0.12237405669998</v>
      </c>
      <c r="J37" s="41" t="n">
        <f aca="false">IFERROR(-J25/J9,0)</f>
        <v>0.12237405669998</v>
      </c>
      <c r="K37" s="41" t="n">
        <f aca="false">IFERROR(-K25/K9,0)</f>
        <v>0.12237405669998</v>
      </c>
      <c r="L37" s="41" t="n">
        <f aca="false">IFERROR(-L25/L9,0)</f>
        <v>0.12237405669998</v>
      </c>
      <c r="M37" s="41" t="n">
        <f aca="false">IFERROR(-M25/M9,0)</f>
        <v>0.12237405669998</v>
      </c>
      <c r="N37" s="41" t="n">
        <f aca="false">IFERROR(-N25/N9,0)</f>
        <v>0.12237405669998</v>
      </c>
      <c r="O37" s="42" t="n">
        <f aca="false">IFERROR(-O25/O9,0)</f>
        <v>0.12237405669998</v>
      </c>
    </row>
    <row r="38" customFormat="false" ht="15" hidden="false" customHeight="false" outlineLevel="0" collapsed="false">
      <c r="A38" s="28" t="s">
        <v>111</v>
      </c>
      <c r="B38" s="41" t="n">
        <f aca="false">IFERROR(-B20/B9,0)</f>
        <v>0.44126045278401</v>
      </c>
      <c r="C38" s="41" t="n">
        <f aca="false">IFERROR(-C20/C9,0)</f>
        <v>0.44126045278401</v>
      </c>
      <c r="D38" s="41" t="n">
        <f aca="false">IFERROR(-D20/D9,0)</f>
        <v>0.44126045278401</v>
      </c>
      <c r="E38" s="41" t="n">
        <f aca="false">IFERROR(-E20/E9,0)</f>
        <v>0.44126045278401</v>
      </c>
      <c r="F38" s="41" t="n">
        <f aca="false">IFERROR(-F20/F9,0)</f>
        <v>0.44126045278401</v>
      </c>
      <c r="G38" s="41" t="n">
        <f aca="false">IFERROR(-G20/G9,0)</f>
        <v>0.44126045278401</v>
      </c>
      <c r="H38" s="41" t="n">
        <f aca="false">IFERROR(-H20/H9,0)</f>
        <v>0.44126045278401</v>
      </c>
      <c r="I38" s="41" t="n">
        <f aca="false">IFERROR(-I20/I9,0)</f>
        <v>0.44126045278401</v>
      </c>
      <c r="J38" s="41" t="n">
        <f aca="false">IFERROR(-J20/J9,0)</f>
        <v>0.44126045278401</v>
      </c>
      <c r="K38" s="41" t="n">
        <f aca="false">IFERROR(-K20/K9,0)</f>
        <v>0.44126045278401</v>
      </c>
      <c r="L38" s="41" t="n">
        <f aca="false">IFERROR(-L20/L9,0)</f>
        <v>0.44126045278401</v>
      </c>
      <c r="M38" s="41" t="n">
        <f aca="false">IFERROR(-M20/M9,0)</f>
        <v>0.44126045278401</v>
      </c>
      <c r="N38" s="41" t="n">
        <f aca="false">IFERROR(-N20/N9,0)</f>
        <v>0.44126045278401</v>
      </c>
      <c r="O38" s="42" t="n">
        <f aca="false">IFERROR(-O20/O9,0)</f>
        <v>0.44126045278401</v>
      </c>
    </row>
    <row r="39" customFormat="false" ht="15" hidden="false" customHeight="false" outlineLevel="0" collapsed="false">
      <c r="A39" s="28" t="s">
        <v>112</v>
      </c>
      <c r="B39" s="41" t="n">
        <f aca="false">IFERROR(B35/B9,0)</f>
        <v>0.303793595757699</v>
      </c>
      <c r="C39" s="41" t="n">
        <f aca="false">IFERROR(C35/C9,0)</f>
        <v>0.303793595757699</v>
      </c>
      <c r="D39" s="41" t="n">
        <f aca="false">IFERROR(D35/D9,0)</f>
        <v>0.303793595757699</v>
      </c>
      <c r="E39" s="41" t="n">
        <f aca="false">IFERROR(E35/E9,0)</f>
        <v>0.303793595757699</v>
      </c>
      <c r="F39" s="41" t="n">
        <f aca="false">IFERROR(F35/F9,0)</f>
        <v>0.303793595757699</v>
      </c>
      <c r="G39" s="41" t="n">
        <f aca="false">IFERROR(G35/G9,0)</f>
        <v>0.303793595757699</v>
      </c>
      <c r="H39" s="41" t="n">
        <f aca="false">IFERROR(H35/H9,0)</f>
        <v>0.303793595757699</v>
      </c>
      <c r="I39" s="41" t="n">
        <f aca="false">IFERROR(I35/I9,0)</f>
        <v>0.303793595757699</v>
      </c>
      <c r="J39" s="41" t="n">
        <f aca="false">IFERROR(J35/J9,0)</f>
        <v>0.303793595757699</v>
      </c>
      <c r="K39" s="41" t="n">
        <f aca="false">IFERROR(K35/K9,0)</f>
        <v>0.303793595757699</v>
      </c>
      <c r="L39" s="41" t="n">
        <f aca="false">IFERROR(L35/L9,0)</f>
        <v>0.303793595757699</v>
      </c>
      <c r="M39" s="41" t="n">
        <f aca="false">IFERROR(M35/M9,0)</f>
        <v>0.303793595757699</v>
      </c>
      <c r="N39" s="41" t="n">
        <f aca="false">IFERROR(N35/N9,0)</f>
        <v>0.303793595757699</v>
      </c>
      <c r="O39" s="42" t="n">
        <f aca="false">IFERROR(O35/O9,0)</f>
        <v>0.303793595757699</v>
      </c>
    </row>
    <row r="42" customFormat="false" ht="15" hidden="false" customHeight="false" outlineLevel="0" collapsed="false">
      <c r="A42" s="12" t="s">
        <v>113</v>
      </c>
      <c r="B42" s="12"/>
      <c r="C42" s="12"/>
      <c r="D42" s="12"/>
    </row>
    <row r="43" customFormat="false" ht="15" hidden="false" customHeight="false" outlineLevel="0" collapsed="false">
      <c r="A43" s="8" t="s">
        <v>114</v>
      </c>
      <c r="B43" s="17" t="n">
        <f aca="false">IFERROR(-O32/O30,0)</f>
        <v>1.85714285714286</v>
      </c>
    </row>
    <row r="44" customFormat="false" ht="15" hidden="false" customHeight="false" outlineLevel="0" collapsed="false">
      <c r="A44" s="8" t="s">
        <v>115</v>
      </c>
      <c r="B44" s="43" t="n">
        <v>0</v>
      </c>
    </row>
    <row r="45" customFormat="false" ht="15" hidden="false" customHeight="false" outlineLevel="0" collapsed="false">
      <c r="A45" s="8" t="s">
        <v>116</v>
      </c>
      <c r="B45" s="44" t="n">
        <v>0</v>
      </c>
    </row>
  </sheetData>
  <mergeCells count="3">
    <mergeCell ref="A1:P1"/>
    <mergeCell ref="A2:P2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5"/>
  </cols>
  <sheetData>
    <row r="2" customFormat="false" ht="21.75" hidden="false" customHeight="true" outlineLevel="0" collapsed="false">
      <c r="B2" s="45" t="s">
        <v>117</v>
      </c>
      <c r="C2" s="45"/>
    </row>
    <row r="4" customFormat="false" ht="15" hidden="false" customHeight="false" outlineLevel="0" collapsed="false">
      <c r="B4" s="8" t="s">
        <v>118</v>
      </c>
      <c r="C4" s="46" t="n">
        <f aca="false">'P&amp;L'!O9</f>
        <v>58836</v>
      </c>
    </row>
    <row r="5" customFormat="false" ht="15" hidden="false" customHeight="false" outlineLevel="0" collapsed="false">
      <c r="B5" s="8" t="s">
        <v>119</v>
      </c>
      <c r="C5" s="46" t="n">
        <f aca="false">'P&amp;L'!O20</f>
        <v>-25962</v>
      </c>
    </row>
    <row r="6" customFormat="false" ht="15" hidden="false" customHeight="false" outlineLevel="0" collapsed="false">
      <c r="B6" s="8" t="s">
        <v>120</v>
      </c>
      <c r="C6" s="46" t="n">
        <f aca="false">'P&amp;L'!O25</f>
        <v>-7200</v>
      </c>
    </row>
    <row r="7" customFormat="false" ht="15" hidden="false" customHeight="false" outlineLevel="0" collapsed="false">
      <c r="B7" s="8" t="s">
        <v>121</v>
      </c>
      <c r="C7" s="46" t="n">
        <f aca="false">'P&amp;L'!O32</f>
        <v>-7800</v>
      </c>
    </row>
    <row r="8" customFormat="false" ht="15" hidden="false" customHeight="false" outlineLevel="0" collapsed="false">
      <c r="B8" s="8" t="s">
        <v>122</v>
      </c>
      <c r="C8" s="46" t="n">
        <f aca="false">'P&amp;L'!O33</f>
        <v>0</v>
      </c>
    </row>
    <row r="9" customFormat="false" ht="15" hidden="false" customHeight="false" outlineLevel="0" collapsed="false">
      <c r="B9" s="8" t="s">
        <v>123</v>
      </c>
      <c r="C9" s="46" t="n">
        <f aca="false">'P&amp;L'!O34</f>
        <v>0</v>
      </c>
    </row>
    <row r="10" customFormat="false" ht="15" hidden="false" customHeight="false" outlineLevel="0" collapsed="false">
      <c r="B10" s="47" t="s">
        <v>124</v>
      </c>
      <c r="C10" s="48" t="n">
        <f aca="false">'P&amp;L'!O35</f>
        <v>17874</v>
      </c>
    </row>
    <row r="11" customFormat="false" ht="15" hidden="false" customHeight="false" outlineLevel="0" collapsed="false">
      <c r="B11" s="8" t="s">
        <v>125</v>
      </c>
      <c r="C11" s="49" t="n">
        <f aca="false">'P&amp;L'!O39</f>
        <v>0.303793595757699</v>
      </c>
    </row>
    <row r="12" customFormat="false" ht="15" hidden="false" customHeight="false" outlineLevel="0" collapsed="false">
      <c r="B12" s="8" t="s">
        <v>126</v>
      </c>
      <c r="C12" s="50" t="n">
        <f aca="false">'P&amp;L'!B43</f>
        <v>1.85714285714286</v>
      </c>
    </row>
    <row r="14" customFormat="false" ht="15" hidden="false" customHeight="false" outlineLevel="0" collapsed="false">
      <c r="B14" s="51" t="s">
        <v>127</v>
      </c>
      <c r="C14" s="43" t="n">
        <v>0</v>
      </c>
    </row>
    <row r="15" customFormat="false" ht="15" hidden="false" customHeight="false" outlineLevel="0" collapsed="false">
      <c r="B15" s="47" t="s">
        <v>128</v>
      </c>
      <c r="C15" s="52" t="n">
        <f aca="false">IFERROR(C14/'P&amp;L'!O35,0)</f>
        <v>0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2026-08-01T16:03:49Z</dcterms:created>
  <dc:creator>openpyxl</dc:creator>
  <dc:description/>
  <dc:language>en-US</dc:language>
  <cp:lastModifiedBy/>
  <dcterms:modified xsi:type="dcterms:W3CDTF">2026-08-01T16:03:50Z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